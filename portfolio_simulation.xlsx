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Holdings" sheetId="2" state="visible" r:id="rId4"/>
    <sheet name="Performance" sheetId="3" state="visible" r:id="rId5"/>
    <sheet name="Risk Metrics" sheetId="4" state="visible" r:id="rId6"/>
    <sheet name="Rebalancing Log" sheetId="5" state="visible" r:id="rId7"/>
    <sheet name="Investment Thesis" sheetId="6" state="visible" r:id="rId8"/>
    <sheet name="Weekly Report Templat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<sst xmlns="http://schemas.openxmlformats.org/spreadsheetml/2006/main" count="413" uniqueCount="328">
  <si>
    <t xml:space="preserve">₹5,00,000 INVESTMENT PORTFOLIO SIMULATION</t>
  </si>
  <si>
    <t xml:space="preserve">Analyst: Dhruv | SGGSCC</t>
  </si>
  <si>
    <t xml:space="preserve">Period: Jan 2023 - Dec 2024  |  Benchmark: Nifty 50  |  Strategy: Growth + Value Blend  |  Corpus: ₹5,00,000</t>
  </si>
  <si>
    <t xml:space="preserve">Portfolio Value</t>
  </si>
  <si>
    <t xml:space="preserve">Total Return</t>
  </si>
  <si>
    <t xml:space="preserve">Portfolio CAGR</t>
  </si>
  <si>
    <t xml:space="preserve">Nifty 50 CAGR</t>
  </si>
  <si>
    <t xml:space="preserve">Alpha Generated</t>
  </si>
  <si>
    <t xml:space="preserve">Max Drawdown</t>
  </si>
  <si>
    <t xml:space="preserve">₹6,84,250</t>
  </si>
  <si>
    <t xml:space="preserve">+36.85%</t>
  </si>
  <si>
    <t xml:space="preserve">+16.8%</t>
  </si>
  <si>
    <t xml:space="preserve">+12.4%</t>
  </si>
  <si>
    <t xml:space="preserve">+4.4%</t>
  </si>
  <si>
    <t xml:space="preserve">-8.2%</t>
  </si>
  <si>
    <t xml:space="preserve">SECTOR ALLOCATION</t>
  </si>
  <si>
    <t xml:space="preserve">Sector</t>
  </si>
  <si>
    <t xml:space="preserve">Allocated (₹)</t>
  </si>
  <si>
    <t xml:space="preserve">Weight</t>
  </si>
  <si>
    <t xml:space="preserve">Stocks</t>
  </si>
  <si>
    <t xml:space="preserve">Exp. Return</t>
  </si>
  <si>
    <t xml:space="preserve">Risk</t>
  </si>
  <si>
    <t xml:space="preserve">Financial Services</t>
  </si>
  <si>
    <t xml:space="preserve">20%</t>
  </si>
  <si>
    <t xml:space="preserve">HDFCBANK, BAJFINANCE</t>
  </si>
  <si>
    <t xml:space="preserve">14-18%</t>
  </si>
  <si>
    <t xml:space="preserve">Medium</t>
  </si>
  <si>
    <t xml:space="preserve">Information Technology</t>
  </si>
  <si>
    <t xml:space="preserve">17%</t>
  </si>
  <si>
    <t xml:space="preserve">TCS, INFY</t>
  </si>
  <si>
    <t xml:space="preserve">12-16%</t>
  </si>
  <si>
    <t xml:space="preserve">Consumer Discretionary</t>
  </si>
  <si>
    <t xml:space="preserve">14%</t>
  </si>
  <si>
    <t xml:space="preserve">TITAN, DMART</t>
  </si>
  <si>
    <t xml:space="preserve">15-20%</t>
  </si>
  <si>
    <t xml:space="preserve">Med-High</t>
  </si>
  <si>
    <t xml:space="preserve">Healthcare &amp; Pharma</t>
  </si>
  <si>
    <t xml:space="preserve">13%</t>
  </si>
  <si>
    <t xml:space="preserve">SUNPHARMA, DRREDDY</t>
  </si>
  <si>
    <t xml:space="preserve">12-18%</t>
  </si>
  <si>
    <t xml:space="preserve">Energy</t>
  </si>
  <si>
    <t xml:space="preserve">12%</t>
  </si>
  <si>
    <t xml:space="preserve">RELIANCE, NTPC</t>
  </si>
  <si>
    <t xml:space="preserve">10-14%</t>
  </si>
  <si>
    <t xml:space="preserve">Low-Med</t>
  </si>
  <si>
    <t xml:space="preserve">Infrastructure</t>
  </si>
  <si>
    <t xml:space="preserve">10%</t>
  </si>
  <si>
    <t xml:space="preserve">LTIM, ULTRACEMCO</t>
  </si>
  <si>
    <t xml:space="preserve">Commodities (Gold)</t>
  </si>
  <si>
    <t xml:space="preserve">8%</t>
  </si>
  <si>
    <t xml:space="preserve">GOLDBEES ETF</t>
  </si>
  <si>
    <t xml:space="preserve">8-12%</t>
  </si>
  <si>
    <t xml:space="preserve">Low</t>
  </si>
  <si>
    <t xml:space="preserve">Auto &amp; EV</t>
  </si>
  <si>
    <t xml:space="preserve">6%</t>
  </si>
  <si>
    <t xml:space="preserve">TATAMOTORS, M&amp;M</t>
  </si>
  <si>
    <t xml:space="preserve">14-20%</t>
  </si>
  <si>
    <t xml:space="preserve">High</t>
  </si>
  <si>
    <t xml:space="preserve">TOTAL</t>
  </si>
  <si>
    <t xml:space="preserve">100%</t>
  </si>
  <si>
    <t xml:space="preserve">15 stocks</t>
  </si>
  <si>
    <t xml:space="preserve">13-17% avg</t>
  </si>
  <si>
    <t xml:space="preserve">Balanced</t>
  </si>
  <si>
    <t xml:space="preserve">PORTFOLIO HOLDINGS — DETAILED ANALYTICS</t>
  </si>
  <si>
    <t xml:space="preserve">Ticker</t>
  </si>
  <si>
    <t xml:space="preserve">Company</t>
  </si>
  <si>
    <t xml:space="preserve">Buy Px (₹)</t>
  </si>
  <si>
    <t xml:space="preserve">Qty</t>
  </si>
  <si>
    <t xml:space="preserve">Invested (₹)</t>
  </si>
  <si>
    <t xml:space="preserve">CMP (₹)</t>
  </si>
  <si>
    <t xml:space="preserve">Curr Val (₹)</t>
  </si>
  <si>
    <t xml:space="preserve">P&amp;L (₹)</t>
  </si>
  <si>
    <t xml:space="preserve">Return %</t>
  </si>
  <si>
    <t xml:space="preserve">Weight %</t>
  </si>
  <si>
    <t xml:space="preserve">Beta</t>
  </si>
  <si>
    <t xml:space="preserve">HDFCBANK</t>
  </si>
  <si>
    <t xml:space="preserve">HDFC Bank</t>
  </si>
  <si>
    <t xml:space="preserve">Financial</t>
  </si>
  <si>
    <t xml:space="preserve">BAJFINANCE</t>
  </si>
  <si>
    <t xml:space="preserve">Bajaj Finance</t>
  </si>
  <si>
    <t xml:space="preserve">TCS</t>
  </si>
  <si>
    <t xml:space="preserve">Tata Consultancy Svcs</t>
  </si>
  <si>
    <t xml:space="preserve">IT</t>
  </si>
  <si>
    <t xml:space="preserve">INFY</t>
  </si>
  <si>
    <t xml:space="preserve">Infosys</t>
  </si>
  <si>
    <t xml:space="preserve">TITAN</t>
  </si>
  <si>
    <t xml:space="preserve">Titan Company</t>
  </si>
  <si>
    <t xml:space="preserve">Consumer</t>
  </si>
  <si>
    <t xml:space="preserve">DMART</t>
  </si>
  <si>
    <t xml:space="preserve">Avenue Supermarts</t>
  </si>
  <si>
    <t xml:space="preserve">SUNPHARMA</t>
  </si>
  <si>
    <t xml:space="preserve">Sun Pharma</t>
  </si>
  <si>
    <t xml:space="preserve">Healthcare</t>
  </si>
  <si>
    <t xml:space="preserve">DRREDDY</t>
  </si>
  <si>
    <t xml:space="preserve">Dr. Reddy's Labs</t>
  </si>
  <si>
    <t xml:space="preserve">RELIANCE</t>
  </si>
  <si>
    <t xml:space="preserve">Reliance Industries</t>
  </si>
  <si>
    <t xml:space="preserve">NTPC</t>
  </si>
  <si>
    <t xml:space="preserve">NTPC Ltd.</t>
  </si>
  <si>
    <t xml:space="preserve">LTIM</t>
  </si>
  <si>
    <t xml:space="preserve">LTIMindtree</t>
  </si>
  <si>
    <t xml:space="preserve">IT/Infra</t>
  </si>
  <si>
    <t xml:space="preserve">ULTRACEMCO</t>
  </si>
  <si>
    <t xml:space="preserve">UltraTech Cement</t>
  </si>
  <si>
    <t xml:space="preserve">Infra</t>
  </si>
  <si>
    <t xml:space="preserve">GOLDBEES</t>
  </si>
  <si>
    <t xml:space="preserve">Nippon Gold ETF</t>
  </si>
  <si>
    <t xml:space="preserve">Commodity</t>
  </si>
  <si>
    <t xml:space="preserve">TATAMOTORS</t>
  </si>
  <si>
    <t xml:space="preserve">Tata Motors</t>
  </si>
  <si>
    <t xml:space="preserve">Auto</t>
  </si>
  <si>
    <t xml:space="preserve">M&amp;M</t>
  </si>
  <si>
    <t xml:space="preserve">Mahindra &amp; Mahindra</t>
  </si>
  <si>
    <t xml:space="preserve">PORTFOLIO TOTAL</t>
  </si>
  <si>
    <t xml:space="preserve">MONTHLY PERFORMANCE TRACKER — PORTFOLIO vs NIFTY 50</t>
  </si>
  <si>
    <t xml:space="preserve">Month</t>
  </si>
  <si>
    <t xml:space="preserve">Portfolio (₹)</t>
  </si>
  <si>
    <t xml:space="preserve">Port Ret %</t>
  </si>
  <si>
    <t xml:space="preserve">Nifty Value</t>
  </si>
  <si>
    <t xml:space="preserve">Nifty Ret %</t>
  </si>
  <si>
    <t xml:space="preserve">Alpha</t>
  </si>
  <si>
    <t xml:space="preserve">Drawdown %</t>
  </si>
  <si>
    <t xml:space="preserve">Ann. Vol.</t>
  </si>
  <si>
    <t xml:space="preserve">Jan-23</t>
  </si>
  <si>
    <t xml:space="preserve">Feb-23</t>
  </si>
  <si>
    <t xml:space="preserve">Mar-23</t>
  </si>
  <si>
    <t xml:space="preserve">Apr-23</t>
  </si>
  <si>
    <t xml:space="preserve">May-23</t>
  </si>
  <si>
    <t xml:space="preserve">Jun-23</t>
  </si>
  <si>
    <t xml:space="preserve">Jul-23</t>
  </si>
  <si>
    <t xml:space="preserve">Aug-23</t>
  </si>
  <si>
    <t xml:space="preserve">Sep-23</t>
  </si>
  <si>
    <t xml:space="preserve">Oct-23</t>
  </si>
  <si>
    <t xml:space="preserve">Nov-23</t>
  </si>
  <si>
    <t xml:space="preserve">Dec-23</t>
  </si>
  <si>
    <t xml:space="preserve">Jan-24</t>
  </si>
  <si>
    <t xml:space="preserve">Feb-24</t>
  </si>
  <si>
    <t xml:space="preserve">Mar-24</t>
  </si>
  <si>
    <t xml:space="preserve">Apr-24</t>
  </si>
  <si>
    <t xml:space="preserve">May-24</t>
  </si>
  <si>
    <t xml:space="preserve">Jun-24</t>
  </si>
  <si>
    <t xml:space="preserve">Jul-24</t>
  </si>
  <si>
    <t xml:space="preserve">Aug-24</t>
  </si>
  <si>
    <t xml:space="preserve">Sep-24</t>
  </si>
  <si>
    <t xml:space="preserve">Oct-24</t>
  </si>
  <si>
    <t xml:space="preserve">Nov-24</t>
  </si>
  <si>
    <t xml:space="preserve">Dec-24</t>
  </si>
  <si>
    <t xml:space="preserve">RISK MANAGEMENT FRAMEWORK</t>
  </si>
  <si>
    <t xml:space="preserve">PORTFOLIO RISK METRICS</t>
  </si>
  <si>
    <t xml:space="preserve">Metric</t>
  </si>
  <si>
    <t xml:space="preserve">Portfolio</t>
  </si>
  <si>
    <t xml:space="preserve">Nifty 50</t>
  </si>
  <si>
    <t xml:space="preserve">Difference</t>
  </si>
  <si>
    <t xml:space="preserve">Interpretation</t>
  </si>
  <si>
    <t xml:space="preserve">CAGR (2-Year)</t>
  </si>
  <si>
    <t xml:space="preserve">16.8%</t>
  </si>
  <si>
    <t xml:space="preserve">12.4%</t>
  </si>
  <si>
    <t xml:space="preserve">Portfolio outperforms benchmark by 440 bps annualized</t>
  </si>
  <si>
    <t xml:space="preserve">Annual Volatility (σ)</t>
  </si>
  <si>
    <t xml:space="preserve">18.2%</t>
  </si>
  <si>
    <t xml:space="preserve">15.6%</t>
  </si>
  <si>
    <t xml:space="preserve">+2.6%</t>
  </si>
  <si>
    <t xml:space="preserve">Slightly higher vol compensated by higher returns</t>
  </si>
  <si>
    <t xml:space="preserve">Sharpe Ratio</t>
  </si>
  <si>
    <t xml:space="preserve">0.92</t>
  </si>
  <si>
    <t xml:space="preserve">0.79</t>
  </si>
  <si>
    <t xml:space="preserve">+0.13</t>
  </si>
  <si>
    <t xml:space="preserve">Better risk-adjusted return per unit of total risk</t>
  </si>
  <si>
    <t xml:space="preserve">Sortino Ratio</t>
  </si>
  <si>
    <t xml:space="preserve">1.24</t>
  </si>
  <si>
    <t xml:space="preserve">1.05</t>
  </si>
  <si>
    <t xml:space="preserve">+0.19</t>
  </si>
  <si>
    <t xml:space="preserve">Less downside deviation — portfolio is better protected</t>
  </si>
  <si>
    <t xml:space="preserve">Beta (Weighted Avg.)</t>
  </si>
  <si>
    <t xml:space="preserve">0.91</t>
  </si>
  <si>
    <t xml:space="preserve">1.00</t>
  </si>
  <si>
    <t xml:space="preserve">-0.09</t>
  </si>
  <si>
    <t xml:space="preserve">Slightly defensive; less sensitive to market swings</t>
  </si>
  <si>
    <t xml:space="preserve">Alpha (Jensen's)</t>
  </si>
  <si>
    <t xml:space="preserve">4.4%</t>
  </si>
  <si>
    <t xml:space="preserve">—</t>
  </si>
  <si>
    <t xml:space="preserve">Excess return above CAPM prediction = skill, not luck</t>
  </si>
  <si>
    <t xml:space="preserve">-11.5%</t>
  </si>
  <si>
    <t xml:space="preserve">+3.3%</t>
  </si>
  <si>
    <t xml:space="preserve">Better capital preservation in down markets</t>
  </si>
  <si>
    <t xml:space="preserve">VaR (95%, 1-day)</t>
  </si>
  <si>
    <t xml:space="preserve">-1.82%</t>
  </si>
  <si>
    <t xml:space="preserve">-2.1%</t>
  </si>
  <si>
    <t xml:space="preserve">+0.28%</t>
  </si>
  <si>
    <t xml:space="preserve">Lower daily tail-risk than benchmark</t>
  </si>
  <si>
    <t xml:space="preserve">Correlation w/ Nifty</t>
  </si>
  <si>
    <t xml:space="preserve">0.78</t>
  </si>
  <si>
    <t xml:space="preserve">-0.22</t>
  </si>
  <si>
    <t xml:space="preserve">Partial diversification from pure index exposure</t>
  </si>
  <si>
    <t xml:space="preserve">Information Ratio</t>
  </si>
  <si>
    <t xml:space="preserve">0.67</t>
  </si>
  <si>
    <t xml:space="preserve">Consistent active return delivery per unit of tracking error</t>
  </si>
  <si>
    <t xml:space="preserve">Calmar Ratio</t>
  </si>
  <si>
    <t xml:space="preserve">2.05</t>
  </si>
  <si>
    <t xml:space="preserve">1.08</t>
  </si>
  <si>
    <t xml:space="preserve">+0.97</t>
  </si>
  <si>
    <t xml:space="preserve">Superior return per unit of max drawdown absorbed</t>
  </si>
  <si>
    <t xml:space="preserve">POSITION SIZING &amp; RISK CONTROLS</t>
  </si>
  <si>
    <t xml:space="preserve">Rule</t>
  </si>
  <si>
    <t xml:space="preserve">Limit</t>
  </si>
  <si>
    <t xml:space="preserve">Rationale</t>
  </si>
  <si>
    <t xml:space="preserve">Status</t>
  </si>
  <si>
    <t xml:space="preserve">Max single stock weight</t>
  </si>
  <si>
    <t xml:space="preserve">Concentration risk prevention</t>
  </si>
  <si>
    <t xml:space="preserve">COMPLIANT</t>
  </si>
  <si>
    <t xml:space="preserve">Max sector weight</t>
  </si>
  <si>
    <t xml:space="preserve">Sector concentration cap</t>
  </si>
  <si>
    <t xml:space="preserve">Min stock count</t>
  </si>
  <si>
    <t xml:space="preserve">12 stocks</t>
  </si>
  <si>
    <t xml:space="preserve">Idiosyncratic risk reduction</t>
  </si>
  <si>
    <t xml:space="preserve">15 stocks held</t>
  </si>
  <si>
    <t xml:space="preserve">Stop-loss per position</t>
  </si>
  <si>
    <t xml:space="preserve">−15% from cost</t>
  </si>
  <si>
    <t xml:space="preserve">Capital preservation</t>
  </si>
  <si>
    <t xml:space="preserve">Active on all positions</t>
  </si>
  <si>
    <t xml:space="preserve">Portfolio stop-loss</t>
  </si>
  <si>
    <t xml:space="preserve">−12% drawdown</t>
  </si>
  <si>
    <t xml:space="preserve">Portfolio-level floor</t>
  </si>
  <si>
    <t xml:space="preserve">At −8.2% (safe zone)</t>
  </si>
  <si>
    <t xml:space="preserve">Rebalancing trigger</t>
  </si>
  <si>
    <t xml:space="preserve">±5% drift</t>
  </si>
  <si>
    <t xml:space="preserve">Maintain target weights</t>
  </si>
  <si>
    <t xml:space="preserve">Quarterly review done</t>
  </si>
  <si>
    <t xml:space="preserve">Liquidity rule</t>
  </si>
  <si>
    <t xml:space="preserve">NSE listed only</t>
  </si>
  <si>
    <t xml:space="preserve">Ensures exit-ability</t>
  </si>
  <si>
    <t xml:space="preserve">All positions compliant</t>
  </si>
  <si>
    <t xml:space="preserve">Gold hedge</t>
  </si>
  <si>
    <t xml:space="preserve">5−8% allocation</t>
  </si>
  <si>
    <t xml:space="preserve">Inflation/crisis hedge</t>
  </si>
  <si>
    <t xml:space="preserve">8% via GoldBees</t>
  </si>
  <si>
    <t xml:space="preserve">PORTFOLIO REBALANCING LOG — 2023-24</t>
  </si>
  <si>
    <t xml:space="preserve">Date</t>
  </si>
  <si>
    <t xml:space="preserve">Stock</t>
  </si>
  <si>
    <t xml:space="preserve">Action</t>
  </si>
  <si>
    <t xml:space="preserve">Price (₹)</t>
  </si>
  <si>
    <t xml:space="preserve">Value (₹)</t>
  </si>
  <si>
    <t xml:space="preserve">Trigger Reason</t>
  </si>
  <si>
    <t xml:space="preserve">BUY</t>
  </si>
  <si>
    <t xml:space="preserve">Energy sector underweight; power capex theme accelerating</t>
  </si>
  <si>
    <t xml:space="preserve">TRIM</t>
  </si>
  <si>
    <t xml:space="preserve">IT overweight &gt;18% after Q4 rally; rebalance to 17%</t>
  </si>
  <si>
    <t xml:space="preserve">ADD</t>
  </si>
  <si>
    <t xml:space="preserve">Healthcare underweight; strong Q1 earnings beat</t>
  </si>
  <si>
    <t xml:space="preserve">Consumer disc. below target; DMart margin recovery</t>
  </si>
  <si>
    <t xml:space="preserve">Gold hedge; geopolitical risk spike (Israel-Gaza)</t>
  </si>
  <si>
    <t xml:space="preserve">NBFC sector crossed 20% cap; portfolio rule triggered</t>
  </si>
  <si>
    <t xml:space="preserve">Auto/EV underweight; M&amp;M SUV market share gain</t>
  </si>
  <si>
    <t xml:space="preserve">IT sector at 18.5%; trim to 17% target weight</t>
  </si>
  <si>
    <t xml:space="preserve">Auto sector: strong JLR recovery, EV momentum</t>
  </si>
  <si>
    <t xml:space="preserve">Interim Budget infra push; cement demand outlook +</t>
  </si>
  <si>
    <t xml:space="preserve">Healthcare below 13% target; pipeline catalyst in US</t>
  </si>
  <si>
    <t xml:space="preserve">Energy crossed 12% cap; lock some O2C gains</t>
  </si>
  <si>
    <t xml:space="preserve">INVESTMENT THESIS — STOCK-LEVEL RATIONALE</t>
  </si>
  <si>
    <t xml:space="preserve">Investment Thesis &amp; Moat</t>
  </si>
  <si>
    <t xml:space="preserve">Key Catalysts</t>
  </si>
  <si>
    <t xml:space="preserve">Exit Triggers / Risk Watch</t>
  </si>
  <si>
    <t xml:space="preserve">India's largest private bank post HDFC merger. Benefits from credit penetration (55% vs China 180%). Strong CASA franchise (40%+), diversified loan book, improving post-merger NIMs.</t>
  </si>
  <si>
    <t xml:space="preserve">Merger synergies | NIM expansion FY25-26 | RBI rate cut cycle benefits | Mortgage book growth accelerating</t>
  </si>
  <si>
    <t xml:space="preserve">NIM compression &gt;30bps for 2Q | Credit cost &gt;1.5% | GNPA &gt;3% | RBI action</t>
  </si>
  <si>
    <t xml:space="preserve">India's IT bellwether. 25%+ RoE, negative net debt, $2.5B+ quarterly FCF. Strong managed services moat. Gen AI adoption driving new deal structures. #1 employer brand for talent.</t>
  </si>
  <si>
    <t xml:space="preserve">Gen AI services revenue | Large deal TCV trajectory | BFSI + retail recovery (US) | High dividend yield</t>
  </si>
  <si>
    <t xml:space="preserve">Revenue growth &lt;5% YoY for 2Q | Attrition &gt;18% | USD/INR sustained below 82</t>
  </si>
  <si>
    <t xml:space="preserve">#1 Indian pharma by market cap. US specialty pipeline (ILUMYA, Levulan) driving premiumization. 32% domestic formulations market share. Dermatology specialty moat in US.</t>
  </si>
  <si>
    <t xml:space="preserve">US specialty drug ramp-up | India branded generics growth | EM expansion | USFDA clearances</t>
  </si>
  <si>
    <t xml:space="preserve">USFDA import alert on key plants | US specialty revenue decline | EV/EBITDA &gt;30x</t>
  </si>
  <si>
    <t xml:space="preserve">3-vertical conglomerate: O2C (cash cow), Jio Platforms (telecom duopoly), Retail (#1 India). Net-debt neutral. New Energy (solar, green hydrogen) is the 5-7Y mega capex thesis.</t>
  </si>
  <si>
    <t xml:space="preserve">Jio tariff hike cycle | New Energy execution (10GW solar) | Retail GMV compounding | GRM normalization</t>
  </si>
  <si>
    <t xml:space="preserve">O2C margins under sustained crude shock | Jio ARPU stagnation | Retail EBITDA margin decline</t>
  </si>
  <si>
    <t xml:space="preserve">Gold ETF as systematic portfolio hedge. Negative correlation to equity drawdowns (-0.3 to +0.1). Pure inflation hedge and USD weakness play. Held as permanent 5-8% SAA allocation.</t>
  </si>
  <si>
    <t xml:space="preserve">Geopolitical risk premium | USD weakness cycle | Central bank gold buying (RBI, PBoC) | Real rate cuts</t>
  </si>
  <si>
    <t xml:space="preserve">No exit thesis — permanent SAA hedge. Trim to 5% only if equity CAGR &gt;20% and gold underperforms for 12M</t>
  </si>
  <si>
    <t xml:space="preserve">WEEKLY PORTFOLIO REPORT TEMPLATE</t>
  </si>
  <si>
    <t xml:space="preserve">Week Ending:</t>
  </si>
  <si>
    <t xml:space="preserve">[Enter Date]</t>
  </si>
  <si>
    <t xml:space="preserve">Portfolio Value:</t>
  </si>
  <si>
    <t xml:space="preserve">1. MARKET SNAPSHOT</t>
  </si>
  <si>
    <t xml:space="preserve">Key Index Performance (WoW)</t>
  </si>
  <si>
    <t xml:space="preserve">Nifty +/-%, Sensex +/-%, Bank Nifty +/-%</t>
  </si>
  <si>
    <t xml:space="preserve">Notes / Analysis</t>
  </si>
  <si>
    <t xml:space="preserve">Top Sector Performers</t>
  </si>
  <si>
    <t xml:space="preserve">[Sector: %, Sector: %]</t>
  </si>
  <si>
    <t xml:space="preserve">FII/DII Net Activity</t>
  </si>
  <si>
    <t xml:space="preserve">FII: ₹X cr | DII: ₹X cr</t>
  </si>
  <si>
    <t xml:space="preserve">Key Macro Events</t>
  </si>
  <si>
    <t xml:space="preserve">RBI meeting / Earnings / Global events</t>
  </si>
  <si>
    <t xml:space="preserve">2. PORTFOLIO PERFORMANCE</t>
  </si>
  <si>
    <t xml:space="preserve">Weekly P&amp;L (absolute)</t>
  </si>
  <si>
    <t xml:space="preserve">[₹+/-]</t>
  </si>
  <si>
    <t xml:space="preserve">WoW Return %</t>
  </si>
  <si>
    <t xml:space="preserve">[+/-X.XX%]</t>
  </si>
  <si>
    <t xml:space="preserve">YTD Portfolio Return</t>
  </si>
  <si>
    <t xml:space="preserve">[+X.XX%]</t>
  </si>
  <si>
    <t xml:space="preserve">vs Nifty 50 (WoW)</t>
  </si>
  <si>
    <t xml:space="preserve">Portfolio: X% | Nifty: X%</t>
  </si>
  <si>
    <t xml:space="preserve">Running CAGR vs Benchmark</t>
  </si>
  <si>
    <t xml:space="preserve">Portfolio CAGR: 16.8% | Nifty: 12.4%</t>
  </si>
  <si>
    <t xml:space="preserve">3. TOP MOVERS</t>
  </si>
  <si>
    <t xml:space="preserve">Top 3 Gainers (Week)</t>
  </si>
  <si>
    <t xml:space="preserve">Stock | % | Reason</t>
  </si>
  <si>
    <t xml:space="preserve">Top 3 Losers (Week)</t>
  </si>
  <si>
    <t xml:space="preserve">Stocks near Stop-Loss</t>
  </si>
  <si>
    <t xml:space="preserve">[None / Ticker @ price]</t>
  </si>
  <si>
    <t xml:space="preserve">4. ACTIONS TAKEN</t>
  </si>
  <si>
    <t xml:space="preserve">Buys / Adds</t>
  </si>
  <si>
    <t xml:space="preserve">[Ticker, Qty, Price, Reason]</t>
  </si>
  <si>
    <t xml:space="preserve">Trims / Exits</t>
  </si>
  <si>
    <t xml:space="preserve">Rebalancing Triggered?</t>
  </si>
  <si>
    <t xml:space="preserve">Yes / No — [detail]</t>
  </si>
  <si>
    <t xml:space="preserve">5. THESIS UPDATES &amp; WATCHLIST</t>
  </si>
  <si>
    <t xml:space="preserve">Thesis Changes</t>
  </si>
  <si>
    <t xml:space="preserve">[Any change to investment rationale?]</t>
  </si>
  <si>
    <t xml:space="preserve">New Watchlist Additions</t>
  </si>
  <si>
    <t xml:space="preserve">[Ticker | Why | Entry Level]</t>
  </si>
  <si>
    <t xml:space="preserve">Upcoming Catalysts</t>
  </si>
  <si>
    <t xml:space="preserve">[Results / Policy / Global events]</t>
  </si>
  <si>
    <t xml:space="preserve">6. NEXT WEEK PLAN</t>
  </si>
  <si>
    <t xml:space="preserve">Stocks to Monitor</t>
  </si>
  <si>
    <t xml:space="preserve">[Ticker list]</t>
  </si>
  <si>
    <t xml:space="preserve">Target Entry / Exit Levels</t>
  </si>
  <si>
    <t xml:space="preserve">[Ticker | Action | Target Px]</t>
  </si>
  <si>
    <t xml:space="preserve">Key Dates / Events</t>
  </si>
  <si>
    <t xml:space="preserve">[Date | Event]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</si>
</sst>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"/>
    <numFmt numFmtId="166" formatCode="\₹#,##0.00"/>
    <numFmt numFmtId="167" formatCode="0.00%"/>
    <numFmt numFmtId="168" formatCode="0.0%"/>
    <numFmt numFmtId="169" formatCode="#,##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F4A261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8"/>
      <color rgb="FF64748B"/>
      <name val="Calibri"/>
      <family val="0"/>
      <charset val="1"/>
    </font>
    <font>
      <b val="true"/>
      <sz val="14"/>
      <color rgb="FF0E8FAB"/>
      <name val="Calibri"/>
      <family val="0"/>
      <charset val="1"/>
    </font>
    <font>
      <b val="true"/>
      <sz val="14"/>
      <color rgb="FF166534"/>
      <name val="Calibri"/>
      <family val="0"/>
      <charset val="1"/>
    </font>
    <font>
      <b val="true"/>
      <sz val="14"/>
      <color rgb="FF64748B"/>
      <name val="Calibri"/>
      <family val="0"/>
      <charset val="1"/>
    </font>
    <font>
      <b val="true"/>
      <sz val="14"/>
      <color rgb="FF991B1B"/>
      <name val="Calibri"/>
      <family val="0"/>
      <charset val="1"/>
    </font>
    <font>
      <b val="true"/>
      <sz val="11"/>
      <color rgb="FF0D1B2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1A1A2E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9"/>
      <color rgb="FF166534"/>
      <name val="Calibri"/>
      <family val="0"/>
      <charset val="1"/>
    </font>
    <font>
      <sz val="9"/>
      <color rgb="FF166534"/>
      <name val="Calibri"/>
      <family val="0"/>
      <charset val="1"/>
    </font>
    <font>
      <b val="true"/>
      <sz val="9"/>
      <color rgb="FF991B1B"/>
      <name val="Calibri"/>
      <family val="0"/>
      <charset val="1"/>
    </font>
    <font>
      <sz val="9"/>
      <color rgb="FF991B1B"/>
      <name val="Calibri"/>
      <family val="0"/>
      <charset val="1"/>
    </font>
    <font>
      <b val="true"/>
      <sz val="9"/>
      <color rgb="FF1D4ED8"/>
      <name val="Calibri"/>
      <family val="0"/>
      <charset val="1"/>
    </font>
    <font>
      <b val="true"/>
      <sz val="10"/>
      <color rgb="FF0E8FAB"/>
      <name val="Calibri"/>
      <family val="0"/>
      <charset val="1"/>
    </font>
    <font>
      <sz val="8.5"/>
      <color rgb="FF1A1A2E"/>
      <name val="Calibri"/>
      <family val="0"/>
      <charset val="1"/>
    </font>
    <font>
      <sz val="8.5"/>
      <color rgb="FF991B1B"/>
      <name val="Calibri"/>
      <family val="0"/>
      <charset val="1"/>
    </font>
    <font>
      <sz val="9"/>
      <color rgb="FFF4A26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0D1B2A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i val="true"/>
      <sz val="8"/>
      <color rgb="FFCBD5E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D1B2A"/>
        <bgColor rgb="FF1A1A2E"/>
      </patternFill>
    </fill>
    <fill>
      <patternFill patternType="solid">
        <fgColor rgb="FF0E8FAB"/>
        <bgColor rgb="FF008080"/>
      </patternFill>
    </fill>
    <fill>
      <patternFill patternType="solid">
        <fgColor rgb="FFF2F4F7"/>
        <bgColor rgb="FFE8F7FA"/>
      </patternFill>
    </fill>
    <fill>
      <patternFill patternType="solid">
        <fgColor rgb="FFFFFFFF"/>
        <bgColor rgb="FFF2F4F7"/>
      </patternFill>
    </fill>
    <fill>
      <patternFill patternType="solid">
        <fgColor rgb="FFE8F7FA"/>
        <bgColor rgb="FFF2F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E8FAB"/>
      <rgbColor rgb="FFC0C0C0"/>
      <rgbColor rgb="FF808080"/>
      <rgbColor rgb="FF9999FF"/>
      <rgbColor rgb="FF993366"/>
      <rgbColor rgb="FFF2F4F7"/>
      <rgbColor rgb="FFE8F7FA"/>
      <rgbColor rgb="FF660066"/>
      <rgbColor rgb="FFF4A261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D1B2A"/>
      <rgbColor rgb="FF333300"/>
      <rgbColor rgb="FF991B1B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7" min="3" style="0" width="16"/>
    <col collapsed="false" customWidth="true" hidden="false" outlineLevel="0" max="8" min="8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1"/>
      <c r="B2" s="2" t="s">
        <v>0</v>
      </c>
      <c r="C2" s="1"/>
      <c r="D2" s="1"/>
      <c r="E2" s="1"/>
      <c r="F2" s="3" t="s">
        <v>1</v>
      </c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8" hidden="false" customHeight="true" outlineLevel="0" collapsed="false">
      <c r="A4" s="4"/>
      <c r="B4" s="5" t="s">
        <v>2</v>
      </c>
      <c r="C4" s="4"/>
      <c r="D4" s="4"/>
      <c r="E4" s="4"/>
      <c r="F4" s="4"/>
      <c r="G4" s="4"/>
      <c r="H4" s="4"/>
    </row>
    <row r="5" customFormat="false" ht="9.75" hidden="false" customHeight="true" outlineLevel="0" collapsed="false"/>
    <row r="6" customFormat="false" ht="18" hidden="false" customHeight="true" outlineLevel="0" collapsed="false"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</row>
    <row r="7" customFormat="false" ht="30" hidden="false" customHeight="true" outlineLevel="0" collapsed="false">
      <c r="B7" s="7" t="s">
        <v>9</v>
      </c>
      <c r="C7" s="8" t="s">
        <v>10</v>
      </c>
      <c r="D7" s="7" t="s">
        <v>11</v>
      </c>
      <c r="E7" s="9" t="s">
        <v>12</v>
      </c>
      <c r="F7" s="8" t="s">
        <v>13</v>
      </c>
      <c r="G7" s="10" t="s">
        <v>14</v>
      </c>
    </row>
    <row r="9" customFormat="false" ht="12" hidden="false" customHeight="true" outlineLevel="0" collapsed="false"/>
    <row r="10" customFormat="false" ht="15" hidden="false" customHeight="false" outlineLevel="0" collapsed="false">
      <c r="A10" s="11"/>
      <c r="B10" s="12" t="s">
        <v>15</v>
      </c>
      <c r="C10" s="11"/>
      <c r="D10" s="11"/>
      <c r="E10" s="11"/>
      <c r="F10" s="11"/>
      <c r="G10" s="11"/>
      <c r="H10" s="11"/>
    </row>
    <row r="11" customFormat="false" ht="18" hidden="false" customHeight="true" outlineLevel="0" collapsed="false">
      <c r="B11" s="13" t="s">
        <v>16</v>
      </c>
      <c r="C11" s="13" t="s">
        <v>17</v>
      </c>
      <c r="D11" s="13" t="s">
        <v>18</v>
      </c>
      <c r="E11" s="13" t="s">
        <v>19</v>
      </c>
      <c r="F11" s="13" t="s">
        <v>20</v>
      </c>
      <c r="G11" s="13" t="s">
        <v>21</v>
      </c>
    </row>
    <row r="12" customFormat="false" ht="16.5" hidden="false" customHeight="true" outlineLevel="0" collapsed="false">
      <c r="B12" s="14" t="s">
        <v>22</v>
      </c>
      <c r="C12" s="15" t="n">
        <v>100000</v>
      </c>
      <c r="D12" s="14" t="s">
        <v>23</v>
      </c>
      <c r="E12" s="14" t="s">
        <v>24</v>
      </c>
      <c r="F12" s="14" t="s">
        <v>25</v>
      </c>
      <c r="G12" s="14" t="s">
        <v>26</v>
      </c>
    </row>
    <row r="13" customFormat="false" ht="16.5" hidden="false" customHeight="true" outlineLevel="0" collapsed="false">
      <c r="B13" s="16" t="s">
        <v>27</v>
      </c>
      <c r="C13" s="17" t="n">
        <v>85000</v>
      </c>
      <c r="D13" s="16" t="s">
        <v>28</v>
      </c>
      <c r="E13" s="16" t="s">
        <v>29</v>
      </c>
      <c r="F13" s="16" t="s">
        <v>30</v>
      </c>
      <c r="G13" s="16" t="s">
        <v>26</v>
      </c>
    </row>
    <row r="14" customFormat="false" ht="16.5" hidden="false" customHeight="true" outlineLevel="0" collapsed="false">
      <c r="B14" s="14" t="s">
        <v>31</v>
      </c>
      <c r="C14" s="15" t="n">
        <v>70000</v>
      </c>
      <c r="D14" s="14" t="s">
        <v>32</v>
      </c>
      <c r="E14" s="14" t="s">
        <v>33</v>
      </c>
      <c r="F14" s="14" t="s">
        <v>34</v>
      </c>
      <c r="G14" s="14" t="s">
        <v>35</v>
      </c>
    </row>
    <row r="15" customFormat="false" ht="16.5" hidden="false" customHeight="true" outlineLevel="0" collapsed="false">
      <c r="B15" s="16" t="s">
        <v>36</v>
      </c>
      <c r="C15" s="17" t="n">
        <v>65000</v>
      </c>
      <c r="D15" s="16" t="s">
        <v>37</v>
      </c>
      <c r="E15" s="16" t="s">
        <v>38</v>
      </c>
      <c r="F15" s="16" t="s">
        <v>39</v>
      </c>
      <c r="G15" s="16" t="s">
        <v>26</v>
      </c>
    </row>
    <row r="16" customFormat="false" ht="16.5" hidden="false" customHeight="true" outlineLevel="0" collapsed="false">
      <c r="B16" s="14" t="s">
        <v>40</v>
      </c>
      <c r="C16" s="15" t="n">
        <v>60000</v>
      </c>
      <c r="D16" s="14" t="s">
        <v>41</v>
      </c>
      <c r="E16" s="14" t="s">
        <v>42</v>
      </c>
      <c r="F16" s="14" t="s">
        <v>43</v>
      </c>
      <c r="G16" s="14" t="s">
        <v>44</v>
      </c>
    </row>
    <row r="17" customFormat="false" ht="16.5" hidden="false" customHeight="true" outlineLevel="0" collapsed="false">
      <c r="B17" s="16" t="s">
        <v>45</v>
      </c>
      <c r="C17" s="17" t="n">
        <v>50000</v>
      </c>
      <c r="D17" s="16" t="s">
        <v>46</v>
      </c>
      <c r="E17" s="16" t="s">
        <v>47</v>
      </c>
      <c r="F17" s="16" t="s">
        <v>30</v>
      </c>
      <c r="G17" s="16" t="s">
        <v>26</v>
      </c>
    </row>
    <row r="18" customFormat="false" ht="16.5" hidden="false" customHeight="true" outlineLevel="0" collapsed="false">
      <c r="B18" s="14" t="s">
        <v>48</v>
      </c>
      <c r="C18" s="15" t="n">
        <v>40000</v>
      </c>
      <c r="D18" s="14" t="s">
        <v>49</v>
      </c>
      <c r="E18" s="14" t="s">
        <v>50</v>
      </c>
      <c r="F18" s="14" t="s">
        <v>51</v>
      </c>
      <c r="G18" s="14" t="s">
        <v>52</v>
      </c>
    </row>
    <row r="19" customFormat="false" ht="16.5" hidden="false" customHeight="true" outlineLevel="0" collapsed="false">
      <c r="B19" s="16" t="s">
        <v>53</v>
      </c>
      <c r="C19" s="17" t="n">
        <v>30000</v>
      </c>
      <c r="D19" s="16" t="s">
        <v>54</v>
      </c>
      <c r="E19" s="16" t="s">
        <v>55</v>
      </c>
      <c r="F19" s="16" t="s">
        <v>56</v>
      </c>
      <c r="G19" s="16" t="s">
        <v>57</v>
      </c>
    </row>
    <row r="20" customFormat="false" ht="16.5" hidden="false" customHeight="true" outlineLevel="0" collapsed="false">
      <c r="B20" s="13" t="s">
        <v>58</v>
      </c>
      <c r="C20" s="13" t="n">
        <v>500000</v>
      </c>
      <c r="D20" s="13" t="s">
        <v>59</v>
      </c>
      <c r="E20" s="13" t="s">
        <v>60</v>
      </c>
      <c r="F20" s="13" t="s">
        <v>61</v>
      </c>
      <c r="G20" s="13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3"/>
  </cols>
  <sheetData>
    <row r="1" customFormat="false" ht="27.75" hidden="false" customHeight="true" outlineLevel="0" collapsed="false">
      <c r="A1" s="1"/>
      <c r="B1" s="18" t="s">
        <v>63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B2" s="19" t="s">
        <v>64</v>
      </c>
      <c r="C2" s="19" t="s">
        <v>65</v>
      </c>
      <c r="D2" s="19" t="s">
        <v>16</v>
      </c>
      <c r="E2" s="19" t="s">
        <v>66</v>
      </c>
      <c r="F2" s="19" t="s">
        <v>67</v>
      </c>
      <c r="G2" s="19" t="s">
        <v>68</v>
      </c>
      <c r="H2" s="19" t="s">
        <v>69</v>
      </c>
      <c r="I2" s="19" t="s">
        <v>70</v>
      </c>
      <c r="J2" s="19" t="s">
        <v>71</v>
      </c>
      <c r="K2" s="19" t="s">
        <v>72</v>
      </c>
      <c r="L2" s="19" t="s">
        <v>73</v>
      </c>
      <c r="M2" s="19" t="s">
        <v>74</v>
      </c>
    </row>
    <row r="3" customFormat="false" ht="16.5" hidden="false" customHeight="true" outlineLevel="0" collapsed="false">
      <c r="B3" s="14" t="s">
        <v>75</v>
      </c>
      <c r="C3" s="14" t="s">
        <v>76</v>
      </c>
      <c r="D3" s="14" t="s">
        <v>77</v>
      </c>
      <c r="E3" s="20" t="n">
        <v>1580</v>
      </c>
      <c r="F3" s="14" t="n">
        <v>30</v>
      </c>
      <c r="G3" s="15" t="n">
        <f aca="false">E3*F3</f>
        <v>47400</v>
      </c>
      <c r="H3" s="20" t="n">
        <v>1742</v>
      </c>
      <c r="I3" s="15" t="n">
        <f aca="false">F3*H3</f>
        <v>52260</v>
      </c>
      <c r="J3" s="15" t="n">
        <f aca="false">I3-G3</f>
        <v>4860</v>
      </c>
      <c r="K3" s="21" t="n">
        <f aca="false">(I3-G3)/G3</f>
        <v>0.10253164556962</v>
      </c>
      <c r="L3" s="22" t="n">
        <f aca="false">I3/SUM(I3:I17)</f>
        <v>0.0933781224314763</v>
      </c>
      <c r="M3" s="14" t="n">
        <v>0.85</v>
      </c>
    </row>
    <row r="4" customFormat="false" ht="16.5" hidden="false" customHeight="true" outlineLevel="0" collapsed="false">
      <c r="B4" s="16" t="s">
        <v>78</v>
      </c>
      <c r="C4" s="16" t="s">
        <v>79</v>
      </c>
      <c r="D4" s="16" t="s">
        <v>77</v>
      </c>
      <c r="E4" s="23" t="n">
        <v>6200</v>
      </c>
      <c r="F4" s="16" t="n">
        <v>5</v>
      </c>
      <c r="G4" s="17" t="n">
        <f aca="false">E4*F4</f>
        <v>31000</v>
      </c>
      <c r="H4" s="23" t="n">
        <v>7150</v>
      </c>
      <c r="I4" s="17" t="n">
        <f aca="false">F4*H4</f>
        <v>35750</v>
      </c>
      <c r="J4" s="17" t="n">
        <f aca="false">I4-G4</f>
        <v>4750</v>
      </c>
      <c r="K4" s="24" t="n">
        <f aca="false">(I4-G4)/G4</f>
        <v>0.153225806451613</v>
      </c>
      <c r="L4" s="25" t="n">
        <f aca="false">I4/SUM(I3:I17)</f>
        <v>0.0638780688275024</v>
      </c>
      <c r="M4" s="16" t="n">
        <v>1.25</v>
      </c>
    </row>
    <row r="5" customFormat="false" ht="16.5" hidden="false" customHeight="true" outlineLevel="0" collapsed="false">
      <c r="B5" s="14" t="s">
        <v>80</v>
      </c>
      <c r="C5" s="14" t="s">
        <v>81</v>
      </c>
      <c r="D5" s="14" t="s">
        <v>82</v>
      </c>
      <c r="E5" s="20" t="n">
        <v>3320</v>
      </c>
      <c r="F5" s="14" t="n">
        <v>12</v>
      </c>
      <c r="G5" s="15" t="n">
        <f aca="false">E5*F5</f>
        <v>39840</v>
      </c>
      <c r="H5" s="20" t="n">
        <v>3890</v>
      </c>
      <c r="I5" s="15" t="n">
        <f aca="false">F5*H5</f>
        <v>46680</v>
      </c>
      <c r="J5" s="15" t="n">
        <f aca="false">I5-G5</f>
        <v>6840</v>
      </c>
      <c r="K5" s="21" t="n">
        <f aca="false">(I5-G5)/G5</f>
        <v>0.171686746987952</v>
      </c>
      <c r="L5" s="22" t="n">
        <f aca="false">I5/SUM(I3:I17)</f>
        <v>0.0834077832970018</v>
      </c>
      <c r="M5" s="14" t="n">
        <v>0.72</v>
      </c>
    </row>
    <row r="6" customFormat="false" ht="16.5" hidden="false" customHeight="true" outlineLevel="0" collapsed="false">
      <c r="B6" s="16" t="s">
        <v>83</v>
      </c>
      <c r="C6" s="16" t="s">
        <v>84</v>
      </c>
      <c r="D6" s="16" t="s">
        <v>82</v>
      </c>
      <c r="E6" s="23" t="n">
        <v>1420</v>
      </c>
      <c r="F6" s="16" t="n">
        <v>28</v>
      </c>
      <c r="G6" s="17" t="n">
        <f aca="false">E6*F6</f>
        <v>39760</v>
      </c>
      <c r="H6" s="23" t="n">
        <v>1625</v>
      </c>
      <c r="I6" s="17" t="n">
        <f aca="false">F6*H6</f>
        <v>45500</v>
      </c>
      <c r="J6" s="17" t="n">
        <f aca="false">I6-G6</f>
        <v>5740</v>
      </c>
      <c r="K6" s="24" t="n">
        <f aca="false">(I6-G6)/G6</f>
        <v>0.144366197183099</v>
      </c>
      <c r="L6" s="25" t="n">
        <f aca="false">I6/SUM(I3:I17)</f>
        <v>0.0812993603259122</v>
      </c>
      <c r="M6" s="16" t="n">
        <v>0.78</v>
      </c>
    </row>
    <row r="7" customFormat="false" ht="16.5" hidden="false" customHeight="true" outlineLevel="0" collapsed="false">
      <c r="B7" s="14" t="s">
        <v>85</v>
      </c>
      <c r="C7" s="14" t="s">
        <v>86</v>
      </c>
      <c r="D7" s="14" t="s">
        <v>87</v>
      </c>
      <c r="E7" s="20" t="n">
        <v>2680</v>
      </c>
      <c r="F7" s="14" t="n">
        <v>12</v>
      </c>
      <c r="G7" s="15" t="n">
        <f aca="false">E7*F7</f>
        <v>32160</v>
      </c>
      <c r="H7" s="20" t="n">
        <v>3240</v>
      </c>
      <c r="I7" s="15" t="n">
        <f aca="false">F7*H7</f>
        <v>38880</v>
      </c>
      <c r="J7" s="15" t="n">
        <f aca="false">I7-G7</f>
        <v>6720</v>
      </c>
      <c r="K7" s="21" t="n">
        <f aca="false">(I7-G7)/G7</f>
        <v>0.208955223880597</v>
      </c>
      <c r="L7" s="22" t="n">
        <f aca="false">I7/SUM(I3:I17)</f>
        <v>0.069470750098274</v>
      </c>
      <c r="M7" s="14" t="n">
        <v>1.15</v>
      </c>
    </row>
    <row r="8" customFormat="false" ht="16.5" hidden="false" customHeight="true" outlineLevel="0" collapsed="false">
      <c r="B8" s="16" t="s">
        <v>88</v>
      </c>
      <c r="C8" s="16" t="s">
        <v>89</v>
      </c>
      <c r="D8" s="16" t="s">
        <v>87</v>
      </c>
      <c r="E8" s="23" t="n">
        <v>3950</v>
      </c>
      <c r="F8" s="16" t="n">
        <v>8</v>
      </c>
      <c r="G8" s="17" t="n">
        <f aca="false">E8*F8</f>
        <v>31600</v>
      </c>
      <c r="H8" s="23" t="n">
        <v>4620</v>
      </c>
      <c r="I8" s="17" t="n">
        <f aca="false">F8*H8</f>
        <v>36960</v>
      </c>
      <c r="J8" s="17" t="n">
        <f aca="false">I8-G8</f>
        <v>5360</v>
      </c>
      <c r="K8" s="24" t="n">
        <f aca="false">(I8-G8)/G8</f>
        <v>0.169620253164557</v>
      </c>
      <c r="L8" s="25" t="n">
        <f aca="false">I8/SUM(I3:I17)</f>
        <v>0.0660400957724333</v>
      </c>
      <c r="M8" s="16" t="n">
        <v>0.92</v>
      </c>
    </row>
    <row r="9" customFormat="false" ht="16.5" hidden="false" customHeight="true" outlineLevel="0" collapsed="false">
      <c r="B9" s="14" t="s">
        <v>90</v>
      </c>
      <c r="C9" s="14" t="s">
        <v>91</v>
      </c>
      <c r="D9" s="14" t="s">
        <v>92</v>
      </c>
      <c r="E9" s="20" t="n">
        <v>930</v>
      </c>
      <c r="F9" s="14" t="n">
        <v>40</v>
      </c>
      <c r="G9" s="15" t="n">
        <f aca="false">E9*F9</f>
        <v>37200</v>
      </c>
      <c r="H9" s="20" t="n">
        <v>1185</v>
      </c>
      <c r="I9" s="15" t="n">
        <f aca="false">F9*H9</f>
        <v>47400</v>
      </c>
      <c r="J9" s="15" t="n">
        <f aca="false">I9-G9</f>
        <v>10200</v>
      </c>
      <c r="K9" s="21" t="n">
        <f aca="false">(I9-G9)/G9</f>
        <v>0.274193548387097</v>
      </c>
      <c r="L9" s="22" t="n">
        <f aca="false">I9/SUM(I3:I17)</f>
        <v>0.084694278669192</v>
      </c>
      <c r="M9" s="14" t="n">
        <v>0.68</v>
      </c>
    </row>
    <row r="10" customFormat="false" ht="16.5" hidden="false" customHeight="true" outlineLevel="0" collapsed="false">
      <c r="B10" s="16" t="s">
        <v>93</v>
      </c>
      <c r="C10" s="16" t="s">
        <v>94</v>
      </c>
      <c r="D10" s="16" t="s">
        <v>92</v>
      </c>
      <c r="E10" s="23" t="n">
        <v>4750</v>
      </c>
      <c r="F10" s="16" t="n">
        <v>6</v>
      </c>
      <c r="G10" s="17" t="n">
        <f aca="false">E10*F10</f>
        <v>28500</v>
      </c>
      <c r="H10" s="23" t="n">
        <v>5620</v>
      </c>
      <c r="I10" s="17" t="n">
        <f aca="false">F10*H10</f>
        <v>33720</v>
      </c>
      <c r="J10" s="17" t="n">
        <f aca="false">I10-G10</f>
        <v>5220</v>
      </c>
      <c r="K10" s="24" t="n">
        <f aca="false">(I10-G10)/G10</f>
        <v>0.183157894736842</v>
      </c>
      <c r="L10" s="25" t="n">
        <f aca="false">I10/SUM(I3:I17)</f>
        <v>0.0602508665975771</v>
      </c>
      <c r="M10" s="16" t="n">
        <v>0.74</v>
      </c>
    </row>
    <row r="11" customFormat="false" ht="16.5" hidden="false" customHeight="true" outlineLevel="0" collapsed="false">
      <c r="B11" s="14" t="s">
        <v>95</v>
      </c>
      <c r="C11" s="14" t="s">
        <v>96</v>
      </c>
      <c r="D11" s="14" t="s">
        <v>40</v>
      </c>
      <c r="E11" s="20" t="n">
        <v>2460</v>
      </c>
      <c r="F11" s="14" t="n">
        <v>12</v>
      </c>
      <c r="G11" s="15" t="n">
        <f aca="false">E11*F11</f>
        <v>29520</v>
      </c>
      <c r="H11" s="20" t="n">
        <v>2810</v>
      </c>
      <c r="I11" s="15" t="n">
        <f aca="false">F11*H11</f>
        <v>33720</v>
      </c>
      <c r="J11" s="15" t="n">
        <f aca="false">I11-G11</f>
        <v>4200</v>
      </c>
      <c r="K11" s="21" t="n">
        <f aca="false">(I11-G11)/G11</f>
        <v>0.142276422764228</v>
      </c>
      <c r="L11" s="22" t="n">
        <f aca="false">I11/SUM(I3:I17)</f>
        <v>0.0602508665975771</v>
      </c>
      <c r="M11" s="14" t="n">
        <v>0.9</v>
      </c>
    </row>
    <row r="12" customFormat="false" ht="16.5" hidden="false" customHeight="true" outlineLevel="0" collapsed="false">
      <c r="B12" s="16" t="s">
        <v>97</v>
      </c>
      <c r="C12" s="16" t="s">
        <v>98</v>
      </c>
      <c r="D12" s="16" t="s">
        <v>40</v>
      </c>
      <c r="E12" s="23" t="n">
        <v>180</v>
      </c>
      <c r="F12" s="16" t="n">
        <v>180</v>
      </c>
      <c r="G12" s="17" t="n">
        <f aca="false">E12*F12</f>
        <v>32400</v>
      </c>
      <c r="H12" s="23" t="n">
        <v>258</v>
      </c>
      <c r="I12" s="17" t="n">
        <f aca="false">F12*H12</f>
        <v>46440</v>
      </c>
      <c r="J12" s="17" t="n">
        <f aca="false">I12-G12</f>
        <v>14040</v>
      </c>
      <c r="K12" s="24" t="n">
        <f aca="false">(I12-G12)/G12</f>
        <v>0.433333333333333</v>
      </c>
      <c r="L12" s="25" t="n">
        <f aca="false">I12/SUM(I3:I17)</f>
        <v>0.0829789515062717</v>
      </c>
      <c r="M12" s="16" t="n">
        <v>0.72</v>
      </c>
    </row>
    <row r="13" customFormat="false" ht="16.5" hidden="false" customHeight="true" outlineLevel="0" collapsed="false">
      <c r="B13" s="14" t="s">
        <v>99</v>
      </c>
      <c r="C13" s="14" t="s">
        <v>100</v>
      </c>
      <c r="D13" s="14" t="s">
        <v>101</v>
      </c>
      <c r="E13" s="20" t="n">
        <v>4800</v>
      </c>
      <c r="F13" s="14" t="n">
        <v>5</v>
      </c>
      <c r="G13" s="15" t="n">
        <f aca="false">E13*F13</f>
        <v>24000</v>
      </c>
      <c r="H13" s="20" t="n">
        <v>5650</v>
      </c>
      <c r="I13" s="15" t="n">
        <f aca="false">F13*H13</f>
        <v>28250</v>
      </c>
      <c r="J13" s="15" t="n">
        <f aca="false">I13-G13</f>
        <v>4250</v>
      </c>
      <c r="K13" s="21" t="n">
        <f aca="false">(I13-G13)/G13</f>
        <v>0.177083333333333</v>
      </c>
      <c r="L13" s="22" t="n">
        <f aca="false">I13/SUM(I3:I17)</f>
        <v>0.0504770753671872</v>
      </c>
      <c r="M13" s="14" t="n">
        <v>1.1</v>
      </c>
    </row>
    <row r="14" customFormat="false" ht="16.5" hidden="false" customHeight="true" outlineLevel="0" collapsed="false">
      <c r="B14" s="16" t="s">
        <v>102</v>
      </c>
      <c r="C14" s="16" t="s">
        <v>103</v>
      </c>
      <c r="D14" s="16" t="s">
        <v>104</v>
      </c>
      <c r="E14" s="23" t="n">
        <v>7200</v>
      </c>
      <c r="F14" s="16" t="n">
        <v>4</v>
      </c>
      <c r="G14" s="17" t="n">
        <f aca="false">E14*F14</f>
        <v>28800</v>
      </c>
      <c r="H14" s="23" t="n">
        <v>9450</v>
      </c>
      <c r="I14" s="17" t="n">
        <f aca="false">F14*H14</f>
        <v>37800</v>
      </c>
      <c r="J14" s="17" t="n">
        <f aca="false">I14-G14</f>
        <v>9000</v>
      </c>
      <c r="K14" s="24" t="n">
        <f aca="false">(I14-G14)/G14</f>
        <v>0.3125</v>
      </c>
      <c r="L14" s="25" t="n">
        <f aca="false">I14/SUM(I3:I17)</f>
        <v>0.0675410070399886</v>
      </c>
      <c r="M14" s="16" t="n">
        <v>0.95</v>
      </c>
    </row>
    <row r="15" customFormat="false" ht="16.5" hidden="false" customHeight="true" outlineLevel="0" collapsed="false">
      <c r="B15" s="14" t="s">
        <v>105</v>
      </c>
      <c r="C15" s="14" t="s">
        <v>106</v>
      </c>
      <c r="D15" s="14" t="s">
        <v>107</v>
      </c>
      <c r="E15" s="20" t="n">
        <v>48</v>
      </c>
      <c r="F15" s="14" t="n">
        <v>500</v>
      </c>
      <c r="G15" s="15" t="n">
        <f aca="false">E15*F15</f>
        <v>24000</v>
      </c>
      <c r="H15" s="20" t="n">
        <v>62</v>
      </c>
      <c r="I15" s="15" t="n">
        <f aca="false">F15*H15</f>
        <v>31000</v>
      </c>
      <c r="J15" s="15" t="n">
        <f aca="false">I15-G15</f>
        <v>7000</v>
      </c>
      <c r="K15" s="21" t="n">
        <f aca="false">(I15-G15)/G15</f>
        <v>0.291666666666667</v>
      </c>
      <c r="L15" s="22" t="n">
        <f aca="false">I15/SUM(I3:I17)</f>
        <v>0.0553907729693028</v>
      </c>
      <c r="M15" s="14" t="n">
        <v>0.18</v>
      </c>
    </row>
    <row r="16" customFormat="false" ht="16.5" hidden="false" customHeight="true" outlineLevel="0" collapsed="false">
      <c r="B16" s="16" t="s">
        <v>108</v>
      </c>
      <c r="C16" s="16" t="s">
        <v>109</v>
      </c>
      <c r="D16" s="16" t="s">
        <v>110</v>
      </c>
      <c r="E16" s="23" t="n">
        <v>580</v>
      </c>
      <c r="F16" s="16" t="n">
        <v>25</v>
      </c>
      <c r="G16" s="17" t="n">
        <f aca="false">E16*F16</f>
        <v>14500</v>
      </c>
      <c r="H16" s="23" t="n">
        <v>780</v>
      </c>
      <c r="I16" s="17" t="n">
        <f aca="false">F16*H16</f>
        <v>19500</v>
      </c>
      <c r="J16" s="17" t="n">
        <f aca="false">I16-G16</f>
        <v>5000</v>
      </c>
      <c r="K16" s="24" t="n">
        <f aca="false">(I16-G16)/G16</f>
        <v>0.344827586206897</v>
      </c>
      <c r="L16" s="25" t="n">
        <f aca="false">I16/SUM(I3:I17)</f>
        <v>0.0348425829968195</v>
      </c>
      <c r="M16" s="16" t="n">
        <v>1.45</v>
      </c>
    </row>
    <row r="17" customFormat="false" ht="16.5" hidden="false" customHeight="true" outlineLevel="0" collapsed="false">
      <c r="B17" s="14" t="s">
        <v>111</v>
      </c>
      <c r="C17" s="14" t="s">
        <v>112</v>
      </c>
      <c r="D17" s="14" t="s">
        <v>110</v>
      </c>
      <c r="E17" s="20" t="n">
        <v>1350</v>
      </c>
      <c r="F17" s="14" t="n">
        <v>15</v>
      </c>
      <c r="G17" s="15" t="n">
        <f aca="false">E17*F17</f>
        <v>20250</v>
      </c>
      <c r="H17" s="20" t="n">
        <v>1720</v>
      </c>
      <c r="I17" s="15" t="n">
        <f aca="false">F17*H17</f>
        <v>25800</v>
      </c>
      <c r="J17" s="15" t="n">
        <f aca="false">I17-G17</f>
        <v>5550</v>
      </c>
      <c r="K17" s="21" t="n">
        <f aca="false">(I17-G17)/G17</f>
        <v>0.274074074074074</v>
      </c>
      <c r="L17" s="22" t="n">
        <f aca="false">I17/SUM(I3:I17)</f>
        <v>0.0460994175034843</v>
      </c>
      <c r="M17" s="14" t="n">
        <v>1.3</v>
      </c>
    </row>
    <row r="18" customFormat="false" ht="19.5" hidden="false" customHeight="true" outlineLevel="0" collapsed="false">
      <c r="B18" s="13" t="s">
        <v>113</v>
      </c>
      <c r="C18" s="13"/>
      <c r="D18" s="13"/>
      <c r="E18" s="13"/>
      <c r="F18" s="13"/>
      <c r="G18" s="26" t="n">
        <f aca="false">SUM(G3:G17)</f>
        <v>460930</v>
      </c>
      <c r="H18" s="13"/>
      <c r="I18" s="26" t="n">
        <f aca="false">SUM(I3:I17)</f>
        <v>559660</v>
      </c>
      <c r="J18" s="26" t="n">
        <f aca="false">SUM(J3:J17)</f>
        <v>98730</v>
      </c>
      <c r="K18" s="27" t="n">
        <f aca="false">(I18-G18)/G18</f>
        <v>0.214197383550648</v>
      </c>
      <c r="L18" s="13" t="s">
        <v>59</v>
      </c>
      <c r="M18" s="13" t="n">
        <f aca="false">SUMPRODUCT(L3:L17,M3:M17)</f>
        <v>0.879592788478719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3"/>
  </cols>
  <sheetData>
    <row r="1" customFormat="false" ht="27.75" hidden="false" customHeight="true" outlineLevel="0" collapsed="false">
      <c r="A1" s="1"/>
      <c r="B1" s="18" t="s">
        <v>114</v>
      </c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B2" s="19" t="s">
        <v>115</v>
      </c>
      <c r="C2" s="19" t="s">
        <v>116</v>
      </c>
      <c r="D2" s="19" t="s">
        <v>117</v>
      </c>
      <c r="E2" s="19" t="s">
        <v>118</v>
      </c>
      <c r="F2" s="19" t="s">
        <v>119</v>
      </c>
      <c r="G2" s="19" t="s">
        <v>120</v>
      </c>
      <c r="H2" s="19" t="s">
        <v>121</v>
      </c>
      <c r="I2" s="19" t="s">
        <v>122</v>
      </c>
    </row>
    <row r="3" customFormat="false" ht="16.5" hidden="false" customHeight="true" outlineLevel="0" collapsed="false">
      <c r="B3" s="14" t="s">
        <v>123</v>
      </c>
      <c r="C3" s="15" t="n">
        <v>500000</v>
      </c>
      <c r="D3" s="14"/>
      <c r="E3" s="28" t="n">
        <v>17800</v>
      </c>
      <c r="F3" s="14"/>
      <c r="G3" s="14"/>
      <c r="H3" s="21" t="n">
        <v>0</v>
      </c>
      <c r="I3" s="21" t="n">
        <v>0.032</v>
      </c>
    </row>
    <row r="4" customFormat="false" ht="16.5" hidden="false" customHeight="true" outlineLevel="0" collapsed="false">
      <c r="B4" s="16" t="s">
        <v>124</v>
      </c>
      <c r="C4" s="17" t="n">
        <v>515000</v>
      </c>
      <c r="D4" s="29" t="n">
        <v>0.03</v>
      </c>
      <c r="E4" s="30" t="n">
        <v>18100</v>
      </c>
      <c r="F4" s="24" t="n">
        <v>0.0168539325842697</v>
      </c>
      <c r="G4" s="31" t="n">
        <v>0.0131460674157303</v>
      </c>
      <c r="H4" s="24" t="n">
        <v>0</v>
      </c>
      <c r="I4" s="24" t="n">
        <v>0.037</v>
      </c>
    </row>
    <row r="5" customFormat="false" ht="16.5" hidden="false" customHeight="true" outlineLevel="0" collapsed="false">
      <c r="B5" s="14" t="s">
        <v>125</v>
      </c>
      <c r="C5" s="15" t="n">
        <v>508000</v>
      </c>
      <c r="D5" s="32" t="n">
        <v>-0.0135922330097087</v>
      </c>
      <c r="E5" s="28" t="n">
        <v>17650</v>
      </c>
      <c r="F5" s="21" t="n">
        <v>-0.0248618784530387</v>
      </c>
      <c r="G5" s="33" t="n">
        <v>0.0112696454433299</v>
      </c>
      <c r="H5" s="21" t="n">
        <v>-0.0135922330097087</v>
      </c>
      <c r="I5" s="21" t="n">
        <v>0.042</v>
      </c>
    </row>
    <row r="6" customFormat="false" ht="16.5" hidden="false" customHeight="true" outlineLevel="0" collapsed="false">
      <c r="B6" s="16" t="s">
        <v>126</v>
      </c>
      <c r="C6" s="17" t="n">
        <v>525000</v>
      </c>
      <c r="D6" s="29" t="n">
        <v>0.0334645669291339</v>
      </c>
      <c r="E6" s="30" t="n">
        <v>18350</v>
      </c>
      <c r="F6" s="24" t="n">
        <v>0.0396600566572238</v>
      </c>
      <c r="G6" s="34" t="n">
        <v>-0.00619548972808993</v>
      </c>
      <c r="H6" s="24" t="n">
        <v>0</v>
      </c>
      <c r="I6" s="24" t="n">
        <v>0.047</v>
      </c>
    </row>
    <row r="7" customFormat="false" ht="16.5" hidden="false" customHeight="true" outlineLevel="0" collapsed="false">
      <c r="B7" s="14" t="s">
        <v>127</v>
      </c>
      <c r="C7" s="15" t="n">
        <v>540000</v>
      </c>
      <c r="D7" s="35" t="n">
        <v>0.0285714285714286</v>
      </c>
      <c r="E7" s="28" t="n">
        <v>18600</v>
      </c>
      <c r="F7" s="21" t="n">
        <v>0.0136239782016349</v>
      </c>
      <c r="G7" s="33" t="n">
        <v>0.0149474503697937</v>
      </c>
      <c r="H7" s="21" t="n">
        <v>0</v>
      </c>
      <c r="I7" s="21" t="n">
        <v>0.032</v>
      </c>
    </row>
    <row r="8" customFormat="false" ht="16.5" hidden="false" customHeight="true" outlineLevel="0" collapsed="false">
      <c r="B8" s="16" t="s">
        <v>128</v>
      </c>
      <c r="C8" s="17" t="n">
        <v>558000</v>
      </c>
      <c r="D8" s="29" t="n">
        <v>0.0333333333333333</v>
      </c>
      <c r="E8" s="30" t="n">
        <v>19200</v>
      </c>
      <c r="F8" s="24" t="n">
        <v>0.032258064516129</v>
      </c>
      <c r="G8" s="31" t="n">
        <v>0.0010752688172043</v>
      </c>
      <c r="H8" s="24" t="n">
        <v>0</v>
      </c>
      <c r="I8" s="24" t="n">
        <v>0.037</v>
      </c>
    </row>
    <row r="9" customFormat="false" ht="16.5" hidden="false" customHeight="true" outlineLevel="0" collapsed="false">
      <c r="B9" s="14" t="s">
        <v>129</v>
      </c>
      <c r="C9" s="15" t="n">
        <v>545000</v>
      </c>
      <c r="D9" s="32" t="n">
        <v>-0.0232974910394265</v>
      </c>
      <c r="E9" s="28" t="n">
        <v>19800</v>
      </c>
      <c r="F9" s="21" t="n">
        <v>0.03125</v>
      </c>
      <c r="G9" s="36" t="n">
        <v>-0.0545474910394265</v>
      </c>
      <c r="H9" s="21" t="n">
        <v>-0.0232974910394265</v>
      </c>
      <c r="I9" s="21" t="n">
        <v>0.042</v>
      </c>
    </row>
    <row r="10" customFormat="false" ht="16.5" hidden="false" customHeight="true" outlineLevel="0" collapsed="false">
      <c r="B10" s="16" t="s">
        <v>130</v>
      </c>
      <c r="C10" s="17" t="n">
        <v>572000</v>
      </c>
      <c r="D10" s="29" t="n">
        <v>0.0495412844036697</v>
      </c>
      <c r="E10" s="30" t="n">
        <v>19400</v>
      </c>
      <c r="F10" s="24" t="n">
        <v>-0.0202020202020202</v>
      </c>
      <c r="G10" s="31" t="n">
        <v>0.0697433046056899</v>
      </c>
      <c r="H10" s="24" t="n">
        <v>0</v>
      </c>
      <c r="I10" s="24" t="n">
        <v>0.047</v>
      </c>
    </row>
    <row r="11" customFormat="false" ht="16.5" hidden="false" customHeight="true" outlineLevel="0" collapsed="false">
      <c r="B11" s="14" t="s">
        <v>131</v>
      </c>
      <c r="C11" s="15" t="n">
        <v>590000</v>
      </c>
      <c r="D11" s="35" t="n">
        <v>0.0314685314685315</v>
      </c>
      <c r="E11" s="28" t="n">
        <v>19900</v>
      </c>
      <c r="F11" s="21" t="n">
        <v>0.0257731958762887</v>
      </c>
      <c r="G11" s="33" t="n">
        <v>0.00569533559224281</v>
      </c>
      <c r="H11" s="21" t="n">
        <v>0</v>
      </c>
      <c r="I11" s="21" t="n">
        <v>0.032</v>
      </c>
    </row>
    <row r="12" customFormat="false" ht="16.5" hidden="false" customHeight="true" outlineLevel="0" collapsed="false">
      <c r="B12" s="16" t="s">
        <v>132</v>
      </c>
      <c r="C12" s="17" t="n">
        <v>578000</v>
      </c>
      <c r="D12" s="37" t="n">
        <v>-0.0203389830508475</v>
      </c>
      <c r="E12" s="30" t="n">
        <v>20200</v>
      </c>
      <c r="F12" s="24" t="n">
        <v>0.0150753768844221</v>
      </c>
      <c r="G12" s="34" t="n">
        <v>-0.0354143599352696</v>
      </c>
      <c r="H12" s="24" t="n">
        <v>-0.0203389830508475</v>
      </c>
      <c r="I12" s="24" t="n">
        <v>0.037</v>
      </c>
    </row>
    <row r="13" customFormat="false" ht="16.5" hidden="false" customHeight="true" outlineLevel="0" collapsed="false">
      <c r="B13" s="14" t="s">
        <v>133</v>
      </c>
      <c r="C13" s="15" t="n">
        <v>605000</v>
      </c>
      <c r="D13" s="35" t="n">
        <v>0.0467128027681661</v>
      </c>
      <c r="E13" s="28" t="n">
        <v>19650</v>
      </c>
      <c r="F13" s="21" t="n">
        <v>-0.0272277227722772</v>
      </c>
      <c r="G13" s="33" t="n">
        <v>0.0739405255404433</v>
      </c>
      <c r="H13" s="21" t="n">
        <v>0</v>
      </c>
      <c r="I13" s="21" t="n">
        <v>0.042</v>
      </c>
    </row>
    <row r="14" customFormat="false" ht="16.5" hidden="false" customHeight="true" outlineLevel="0" collapsed="false">
      <c r="B14" s="16" t="s">
        <v>134</v>
      </c>
      <c r="C14" s="17" t="n">
        <v>625000</v>
      </c>
      <c r="D14" s="29" t="n">
        <v>0.0330578512396694</v>
      </c>
      <c r="E14" s="30" t="n">
        <v>20400</v>
      </c>
      <c r="F14" s="24" t="n">
        <v>0.0381679389312977</v>
      </c>
      <c r="G14" s="34" t="n">
        <v>-0.00511008769162829</v>
      </c>
      <c r="H14" s="24" t="n">
        <v>0</v>
      </c>
      <c r="I14" s="24" t="n">
        <v>0.047</v>
      </c>
    </row>
    <row r="15" customFormat="false" ht="16.5" hidden="false" customHeight="true" outlineLevel="0" collapsed="false">
      <c r="B15" s="14" t="s">
        <v>135</v>
      </c>
      <c r="C15" s="15" t="n">
        <v>618000</v>
      </c>
      <c r="D15" s="32" t="n">
        <v>-0.0112</v>
      </c>
      <c r="E15" s="28" t="n">
        <v>21200</v>
      </c>
      <c r="F15" s="21" t="n">
        <v>0.0392156862745098</v>
      </c>
      <c r="G15" s="36" t="n">
        <v>-0.0504156862745098</v>
      </c>
      <c r="H15" s="21" t="n">
        <v>-0.0112</v>
      </c>
      <c r="I15" s="21" t="n">
        <v>0.032</v>
      </c>
    </row>
    <row r="16" customFormat="false" ht="16.5" hidden="false" customHeight="true" outlineLevel="0" collapsed="false">
      <c r="B16" s="16" t="s">
        <v>136</v>
      </c>
      <c r="C16" s="17" t="n">
        <v>640000</v>
      </c>
      <c r="D16" s="29" t="n">
        <v>0.0355987055016181</v>
      </c>
      <c r="E16" s="30" t="n">
        <v>21800</v>
      </c>
      <c r="F16" s="24" t="n">
        <v>0.0283018867924528</v>
      </c>
      <c r="G16" s="31" t="n">
        <v>0.00729681870916529</v>
      </c>
      <c r="H16" s="24" t="n">
        <v>0</v>
      </c>
      <c r="I16" s="24" t="n">
        <v>0.037</v>
      </c>
    </row>
    <row r="17" customFormat="false" ht="16.5" hidden="false" customHeight="true" outlineLevel="0" collapsed="false">
      <c r="B17" s="14" t="s">
        <v>137</v>
      </c>
      <c r="C17" s="15" t="n">
        <v>660000</v>
      </c>
      <c r="D17" s="35" t="n">
        <v>0.03125</v>
      </c>
      <c r="E17" s="28" t="n">
        <v>22500</v>
      </c>
      <c r="F17" s="21" t="n">
        <v>0.0321100917431193</v>
      </c>
      <c r="G17" s="36" t="n">
        <v>-0.000860091743119268</v>
      </c>
      <c r="H17" s="21" t="n">
        <v>0</v>
      </c>
      <c r="I17" s="21" t="n">
        <v>0.042</v>
      </c>
    </row>
    <row r="18" customFormat="false" ht="16.5" hidden="false" customHeight="true" outlineLevel="0" collapsed="false">
      <c r="B18" s="16" t="s">
        <v>138</v>
      </c>
      <c r="C18" s="17" t="n">
        <v>645000</v>
      </c>
      <c r="D18" s="37" t="n">
        <v>-0.0227272727272727</v>
      </c>
      <c r="E18" s="30" t="n">
        <v>22100</v>
      </c>
      <c r="F18" s="24" t="n">
        <v>-0.0177777777777778</v>
      </c>
      <c r="G18" s="34" t="n">
        <v>-0.00494949494949495</v>
      </c>
      <c r="H18" s="24" t="n">
        <v>-0.0227272727272727</v>
      </c>
      <c r="I18" s="24" t="n">
        <v>0.047</v>
      </c>
    </row>
    <row r="19" customFormat="false" ht="16.5" hidden="false" customHeight="true" outlineLevel="0" collapsed="false">
      <c r="B19" s="14" t="s">
        <v>139</v>
      </c>
      <c r="C19" s="15" t="n">
        <v>672000</v>
      </c>
      <c r="D19" s="35" t="n">
        <v>0.0418604651162791</v>
      </c>
      <c r="E19" s="28" t="n">
        <v>22800</v>
      </c>
      <c r="F19" s="21" t="n">
        <v>0.0316742081447964</v>
      </c>
      <c r="G19" s="33" t="n">
        <v>0.0101862569714827</v>
      </c>
      <c r="H19" s="21" t="n">
        <v>0</v>
      </c>
      <c r="I19" s="21" t="n">
        <v>0.032</v>
      </c>
    </row>
    <row r="20" customFormat="false" ht="16.5" hidden="false" customHeight="true" outlineLevel="0" collapsed="false">
      <c r="B20" s="16" t="s">
        <v>140</v>
      </c>
      <c r="C20" s="17" t="n">
        <v>658000</v>
      </c>
      <c r="D20" s="37" t="n">
        <v>-0.0208333333333333</v>
      </c>
      <c r="E20" s="30" t="n">
        <v>23400</v>
      </c>
      <c r="F20" s="24" t="n">
        <v>0.0263157894736842</v>
      </c>
      <c r="G20" s="34" t="n">
        <v>-0.0471491228070175</v>
      </c>
      <c r="H20" s="24" t="n">
        <v>-0.0208333333333333</v>
      </c>
      <c r="I20" s="24" t="n">
        <v>0.037</v>
      </c>
    </row>
    <row r="21" customFormat="false" ht="16.5" hidden="false" customHeight="true" outlineLevel="0" collapsed="false">
      <c r="B21" s="14" t="s">
        <v>141</v>
      </c>
      <c r="C21" s="15" t="n">
        <v>690000</v>
      </c>
      <c r="D21" s="35" t="n">
        <v>0.0486322188449848</v>
      </c>
      <c r="E21" s="28" t="n">
        <v>24200</v>
      </c>
      <c r="F21" s="21" t="n">
        <v>0.0341880341880342</v>
      </c>
      <c r="G21" s="33" t="n">
        <v>0.0144441846569506</v>
      </c>
      <c r="H21" s="21" t="n">
        <v>0</v>
      </c>
      <c r="I21" s="21" t="n">
        <v>0.042</v>
      </c>
    </row>
    <row r="22" customFormat="false" ht="16.5" hidden="false" customHeight="true" outlineLevel="0" collapsed="false">
      <c r="B22" s="16" t="s">
        <v>142</v>
      </c>
      <c r="C22" s="17" t="n">
        <v>710000</v>
      </c>
      <c r="D22" s="29" t="n">
        <v>0.0289855072463768</v>
      </c>
      <c r="E22" s="30" t="n">
        <v>24600</v>
      </c>
      <c r="F22" s="24" t="n">
        <v>0.0165289256198347</v>
      </c>
      <c r="G22" s="31" t="n">
        <v>0.0124565816265421</v>
      </c>
      <c r="H22" s="24" t="n">
        <v>0</v>
      </c>
      <c r="I22" s="24" t="n">
        <v>0.047</v>
      </c>
    </row>
    <row r="23" customFormat="false" ht="16.5" hidden="false" customHeight="true" outlineLevel="0" collapsed="false">
      <c r="B23" s="14" t="s">
        <v>143</v>
      </c>
      <c r="C23" s="15" t="n">
        <v>695000</v>
      </c>
      <c r="D23" s="32" t="n">
        <v>-0.0211267605633803</v>
      </c>
      <c r="E23" s="28" t="n">
        <v>25800</v>
      </c>
      <c r="F23" s="21" t="n">
        <v>0.0487804878048781</v>
      </c>
      <c r="G23" s="36" t="n">
        <v>-0.0699072483682583</v>
      </c>
      <c r="H23" s="21" t="n">
        <v>-0.0211267605633803</v>
      </c>
      <c r="I23" s="21" t="n">
        <v>0.032</v>
      </c>
    </row>
    <row r="24" customFormat="false" ht="16.5" hidden="false" customHeight="true" outlineLevel="0" collapsed="false">
      <c r="B24" s="16" t="s">
        <v>144</v>
      </c>
      <c r="C24" s="17" t="n">
        <v>720000</v>
      </c>
      <c r="D24" s="29" t="n">
        <v>0.0359712230215827</v>
      </c>
      <c r="E24" s="30" t="n">
        <v>24500</v>
      </c>
      <c r="F24" s="24" t="n">
        <v>-0.0503875968992248</v>
      </c>
      <c r="G24" s="31" t="n">
        <v>0.0863588199208075</v>
      </c>
      <c r="H24" s="24" t="n">
        <v>0</v>
      </c>
      <c r="I24" s="24" t="n">
        <v>0.037</v>
      </c>
    </row>
    <row r="25" customFormat="false" ht="16.5" hidden="false" customHeight="true" outlineLevel="0" collapsed="false">
      <c r="B25" s="14" t="s">
        <v>145</v>
      </c>
      <c r="C25" s="15" t="n">
        <v>705000</v>
      </c>
      <c r="D25" s="32" t="n">
        <v>-0.0208333333333333</v>
      </c>
      <c r="E25" s="28" t="n">
        <v>23900</v>
      </c>
      <c r="F25" s="21" t="n">
        <v>-0.0244897959183674</v>
      </c>
      <c r="G25" s="33" t="n">
        <v>0.00365646258503401</v>
      </c>
      <c r="H25" s="21" t="n">
        <v>-0.0208333333333333</v>
      </c>
      <c r="I25" s="21" t="n">
        <v>0.042</v>
      </c>
    </row>
    <row r="26" customFormat="false" ht="16.5" hidden="false" customHeight="true" outlineLevel="0" collapsed="false">
      <c r="B26" s="16" t="s">
        <v>146</v>
      </c>
      <c r="C26" s="17" t="n">
        <v>684250</v>
      </c>
      <c r="D26" s="37" t="n">
        <v>-0.0294326241134752</v>
      </c>
      <c r="E26" s="30" t="n">
        <v>23652</v>
      </c>
      <c r="F26" s="24" t="n">
        <v>-0.0103765690376569</v>
      </c>
      <c r="G26" s="34" t="n">
        <v>-0.0190560550758183</v>
      </c>
      <c r="H26" s="24" t="n">
        <v>-0.0496527777777778</v>
      </c>
      <c r="I26" s="24" t="n">
        <v>0.047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6" min="6" style="0" width="30"/>
    <col collapsed="false" customWidth="true" hidden="false" outlineLevel="0" max="7" min="7" style="0" width="3"/>
  </cols>
  <sheetData>
    <row r="1" customFormat="false" ht="27.75" hidden="false" customHeight="true" outlineLevel="0" collapsed="false">
      <c r="A1" s="1"/>
      <c r="B1" s="18" t="s">
        <v>147</v>
      </c>
      <c r="C1" s="1"/>
      <c r="D1" s="1"/>
      <c r="E1" s="1"/>
      <c r="F1" s="1"/>
      <c r="G1" s="1"/>
    </row>
    <row r="3" customFormat="false" ht="18" hidden="false" customHeight="true" outlineLevel="0" collapsed="false">
      <c r="A3" s="11"/>
      <c r="B3" s="12" t="s">
        <v>148</v>
      </c>
      <c r="C3" s="11"/>
      <c r="D3" s="11"/>
      <c r="E3" s="11"/>
      <c r="F3" s="11"/>
      <c r="G3" s="11"/>
    </row>
    <row r="4" customFormat="false" ht="18" hidden="false" customHeight="true" outlineLevel="0" collapsed="false">
      <c r="B4" s="13" t="s">
        <v>149</v>
      </c>
      <c r="C4" s="13" t="s">
        <v>150</v>
      </c>
      <c r="D4" s="13" t="s">
        <v>151</v>
      </c>
      <c r="E4" s="13" t="s">
        <v>152</v>
      </c>
      <c r="F4" s="13" t="s">
        <v>153</v>
      </c>
    </row>
    <row r="5" customFormat="false" ht="16.5" hidden="false" customHeight="true" outlineLevel="0" collapsed="false">
      <c r="B5" s="38" t="s">
        <v>154</v>
      </c>
      <c r="C5" s="38" t="s">
        <v>155</v>
      </c>
      <c r="D5" s="38" t="s">
        <v>156</v>
      </c>
      <c r="E5" s="38" t="s">
        <v>13</v>
      </c>
      <c r="F5" s="39" t="s">
        <v>157</v>
      </c>
    </row>
    <row r="6" customFormat="false" ht="16.5" hidden="false" customHeight="true" outlineLevel="0" collapsed="false">
      <c r="B6" s="40" t="s">
        <v>158</v>
      </c>
      <c r="C6" s="40" t="s">
        <v>159</v>
      </c>
      <c r="D6" s="40" t="s">
        <v>160</v>
      </c>
      <c r="E6" s="40" t="s">
        <v>161</v>
      </c>
      <c r="F6" s="41" t="s">
        <v>162</v>
      </c>
    </row>
    <row r="7" customFormat="false" ht="16.5" hidden="false" customHeight="true" outlineLevel="0" collapsed="false">
      <c r="B7" s="38" t="s">
        <v>163</v>
      </c>
      <c r="C7" s="38" t="s">
        <v>164</v>
      </c>
      <c r="D7" s="38" t="s">
        <v>165</v>
      </c>
      <c r="E7" s="38" t="s">
        <v>166</v>
      </c>
      <c r="F7" s="39" t="s">
        <v>167</v>
      </c>
    </row>
    <row r="8" customFormat="false" ht="16.5" hidden="false" customHeight="true" outlineLevel="0" collapsed="false">
      <c r="B8" s="40" t="s">
        <v>168</v>
      </c>
      <c r="C8" s="40" t="s">
        <v>169</v>
      </c>
      <c r="D8" s="40" t="s">
        <v>170</v>
      </c>
      <c r="E8" s="40" t="s">
        <v>171</v>
      </c>
      <c r="F8" s="41" t="s">
        <v>172</v>
      </c>
    </row>
    <row r="9" customFormat="false" ht="16.5" hidden="false" customHeight="true" outlineLevel="0" collapsed="false">
      <c r="B9" s="38" t="s">
        <v>173</v>
      </c>
      <c r="C9" s="38" t="s">
        <v>174</v>
      </c>
      <c r="D9" s="38" t="s">
        <v>175</v>
      </c>
      <c r="E9" s="38" t="s">
        <v>176</v>
      </c>
      <c r="F9" s="39" t="s">
        <v>177</v>
      </c>
    </row>
    <row r="10" customFormat="false" ht="16.5" hidden="false" customHeight="true" outlineLevel="0" collapsed="false">
      <c r="B10" s="40" t="s">
        <v>178</v>
      </c>
      <c r="C10" s="40" t="s">
        <v>179</v>
      </c>
      <c r="D10" s="40" t="s">
        <v>180</v>
      </c>
      <c r="E10" s="40" t="s">
        <v>180</v>
      </c>
      <c r="F10" s="41" t="s">
        <v>181</v>
      </c>
    </row>
    <row r="11" customFormat="false" ht="16.5" hidden="false" customHeight="true" outlineLevel="0" collapsed="false">
      <c r="B11" s="38" t="s">
        <v>8</v>
      </c>
      <c r="C11" s="38" t="s">
        <v>14</v>
      </c>
      <c r="D11" s="38" t="s">
        <v>182</v>
      </c>
      <c r="E11" s="38" t="s">
        <v>183</v>
      </c>
      <c r="F11" s="39" t="s">
        <v>184</v>
      </c>
    </row>
    <row r="12" customFormat="false" ht="16.5" hidden="false" customHeight="true" outlineLevel="0" collapsed="false">
      <c r="B12" s="40" t="s">
        <v>185</v>
      </c>
      <c r="C12" s="40" t="s">
        <v>186</v>
      </c>
      <c r="D12" s="40" t="s">
        <v>187</v>
      </c>
      <c r="E12" s="40" t="s">
        <v>188</v>
      </c>
      <c r="F12" s="41" t="s">
        <v>189</v>
      </c>
    </row>
    <row r="13" customFormat="false" ht="16.5" hidden="false" customHeight="true" outlineLevel="0" collapsed="false">
      <c r="B13" s="38" t="s">
        <v>190</v>
      </c>
      <c r="C13" s="38" t="s">
        <v>191</v>
      </c>
      <c r="D13" s="38" t="s">
        <v>175</v>
      </c>
      <c r="E13" s="38" t="s">
        <v>192</v>
      </c>
      <c r="F13" s="39" t="s">
        <v>193</v>
      </c>
    </row>
    <row r="14" customFormat="false" ht="16.5" hidden="false" customHeight="true" outlineLevel="0" collapsed="false">
      <c r="B14" s="40" t="s">
        <v>194</v>
      </c>
      <c r="C14" s="40" t="s">
        <v>195</v>
      </c>
      <c r="D14" s="40" t="s">
        <v>180</v>
      </c>
      <c r="E14" s="40" t="s">
        <v>180</v>
      </c>
      <c r="F14" s="41" t="s">
        <v>196</v>
      </c>
    </row>
    <row r="15" customFormat="false" ht="16.5" hidden="false" customHeight="true" outlineLevel="0" collapsed="false">
      <c r="B15" s="38" t="s">
        <v>197</v>
      </c>
      <c r="C15" s="38" t="s">
        <v>198</v>
      </c>
      <c r="D15" s="38" t="s">
        <v>199</v>
      </c>
      <c r="E15" s="38" t="s">
        <v>200</v>
      </c>
      <c r="F15" s="39" t="s">
        <v>201</v>
      </c>
    </row>
    <row r="17" customFormat="false" ht="9.75" hidden="false" customHeight="true" outlineLevel="0" collapsed="false"/>
    <row r="18" customFormat="false" ht="18" hidden="false" customHeight="true" outlineLevel="0" collapsed="false">
      <c r="A18" s="11"/>
      <c r="B18" s="12" t="s">
        <v>202</v>
      </c>
      <c r="C18" s="11"/>
      <c r="D18" s="11"/>
      <c r="E18" s="11"/>
      <c r="F18" s="11"/>
      <c r="G18" s="11"/>
    </row>
    <row r="19" customFormat="false" ht="18" hidden="false" customHeight="true" outlineLevel="0" collapsed="false">
      <c r="B19" s="42" t="s">
        <v>203</v>
      </c>
      <c r="C19" s="42" t="s">
        <v>204</v>
      </c>
      <c r="D19" s="42" t="s">
        <v>205</v>
      </c>
      <c r="E19" s="42" t="s">
        <v>206</v>
      </c>
    </row>
    <row r="20" customFormat="false" ht="16.5" hidden="false" customHeight="true" outlineLevel="0" collapsed="false">
      <c r="B20" s="14" t="s">
        <v>207</v>
      </c>
      <c r="C20" s="14" t="s">
        <v>46</v>
      </c>
      <c r="D20" s="14" t="s">
        <v>208</v>
      </c>
      <c r="E20" s="43" t="s">
        <v>209</v>
      </c>
    </row>
    <row r="21" customFormat="false" ht="16.5" hidden="false" customHeight="true" outlineLevel="0" collapsed="false">
      <c r="B21" s="16" t="s">
        <v>210</v>
      </c>
      <c r="C21" s="16" t="s">
        <v>23</v>
      </c>
      <c r="D21" s="16" t="s">
        <v>211</v>
      </c>
      <c r="E21" s="44" t="s">
        <v>209</v>
      </c>
    </row>
    <row r="22" customFormat="false" ht="16.5" hidden="false" customHeight="true" outlineLevel="0" collapsed="false">
      <c r="B22" s="14" t="s">
        <v>212</v>
      </c>
      <c r="C22" s="14" t="s">
        <v>213</v>
      </c>
      <c r="D22" s="14" t="s">
        <v>214</v>
      </c>
      <c r="E22" s="43" t="s">
        <v>215</v>
      </c>
    </row>
    <row r="23" customFormat="false" ht="16.5" hidden="false" customHeight="true" outlineLevel="0" collapsed="false">
      <c r="B23" s="16" t="s">
        <v>216</v>
      </c>
      <c r="C23" s="16" t="s">
        <v>217</v>
      </c>
      <c r="D23" s="16" t="s">
        <v>218</v>
      </c>
      <c r="E23" s="44" t="s">
        <v>219</v>
      </c>
    </row>
    <row r="24" customFormat="false" ht="16.5" hidden="false" customHeight="true" outlineLevel="0" collapsed="false">
      <c r="B24" s="14" t="s">
        <v>220</v>
      </c>
      <c r="C24" s="14" t="s">
        <v>221</v>
      </c>
      <c r="D24" s="14" t="s">
        <v>222</v>
      </c>
      <c r="E24" s="43" t="s">
        <v>223</v>
      </c>
    </row>
    <row r="25" customFormat="false" ht="16.5" hidden="false" customHeight="true" outlineLevel="0" collapsed="false">
      <c r="B25" s="16" t="s">
        <v>224</v>
      </c>
      <c r="C25" s="16" t="s">
        <v>225</v>
      </c>
      <c r="D25" s="16" t="s">
        <v>226</v>
      </c>
      <c r="E25" s="44" t="s">
        <v>227</v>
      </c>
    </row>
    <row r="26" customFormat="false" ht="16.5" hidden="false" customHeight="true" outlineLevel="0" collapsed="false">
      <c r="B26" s="14" t="s">
        <v>228</v>
      </c>
      <c r="C26" s="14" t="s">
        <v>229</v>
      </c>
      <c r="D26" s="14" t="s">
        <v>230</v>
      </c>
      <c r="E26" s="43" t="s">
        <v>231</v>
      </c>
    </row>
    <row r="27" customFormat="false" ht="16.5" hidden="false" customHeight="true" outlineLevel="0" collapsed="false">
      <c r="B27" s="16" t="s">
        <v>232</v>
      </c>
      <c r="C27" s="16" t="s">
        <v>233</v>
      </c>
      <c r="D27" s="16" t="s">
        <v>234</v>
      </c>
      <c r="E27" s="44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3"/>
  </cols>
  <sheetData>
    <row r="1" customFormat="false" ht="27.75" hidden="false" customHeight="true" outlineLevel="0" collapsed="false">
      <c r="A1" s="1"/>
      <c r="B1" s="18" t="s">
        <v>236</v>
      </c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B2" s="42" t="s">
        <v>237</v>
      </c>
      <c r="C2" s="42" t="s">
        <v>238</v>
      </c>
      <c r="D2" s="42" t="s">
        <v>239</v>
      </c>
      <c r="E2" s="42" t="s">
        <v>67</v>
      </c>
      <c r="F2" s="42" t="s">
        <v>240</v>
      </c>
      <c r="G2" s="42" t="s">
        <v>241</v>
      </c>
      <c r="H2" s="42" t="s">
        <v>242</v>
      </c>
    </row>
    <row r="3" customFormat="false" ht="21.75" hidden="false" customHeight="true" outlineLevel="0" collapsed="false">
      <c r="B3" s="14" t="s">
        <v>126</v>
      </c>
      <c r="C3" s="14" t="s">
        <v>97</v>
      </c>
      <c r="D3" s="43" t="s">
        <v>243</v>
      </c>
      <c r="E3" s="14" t="n">
        <v>80</v>
      </c>
      <c r="F3" s="14" t="n">
        <v>180</v>
      </c>
      <c r="G3" s="15" t="n">
        <v>14400</v>
      </c>
      <c r="H3" s="38" t="s">
        <v>244</v>
      </c>
    </row>
    <row r="4" customFormat="false" ht="21.75" hidden="false" customHeight="true" outlineLevel="0" collapsed="false">
      <c r="B4" s="16" t="s">
        <v>126</v>
      </c>
      <c r="C4" s="16" t="s">
        <v>80</v>
      </c>
      <c r="D4" s="45" t="s">
        <v>245</v>
      </c>
      <c r="E4" s="16" t="n">
        <v>3</v>
      </c>
      <c r="F4" s="16" t="n">
        <v>3580</v>
      </c>
      <c r="G4" s="17" t="n">
        <v>10740</v>
      </c>
      <c r="H4" s="40" t="s">
        <v>246</v>
      </c>
    </row>
    <row r="5" customFormat="false" ht="21.75" hidden="false" customHeight="true" outlineLevel="0" collapsed="false">
      <c r="B5" s="14" t="s">
        <v>129</v>
      </c>
      <c r="C5" s="14" t="s">
        <v>90</v>
      </c>
      <c r="D5" s="46" t="s">
        <v>247</v>
      </c>
      <c r="E5" s="14" t="n">
        <v>15</v>
      </c>
      <c r="F5" s="14" t="n">
        <v>1020</v>
      </c>
      <c r="G5" s="15" t="n">
        <v>15300</v>
      </c>
      <c r="H5" s="38" t="s">
        <v>248</v>
      </c>
    </row>
    <row r="6" customFormat="false" ht="21.75" hidden="false" customHeight="true" outlineLevel="0" collapsed="false">
      <c r="B6" s="16" t="s">
        <v>129</v>
      </c>
      <c r="C6" s="16" t="s">
        <v>88</v>
      </c>
      <c r="D6" s="44" t="s">
        <v>243</v>
      </c>
      <c r="E6" s="16" t="n">
        <v>3</v>
      </c>
      <c r="F6" s="16" t="n">
        <v>4100</v>
      </c>
      <c r="G6" s="17" t="n">
        <v>12300</v>
      </c>
      <c r="H6" s="40" t="s">
        <v>249</v>
      </c>
    </row>
    <row r="7" customFormat="false" ht="21.75" hidden="false" customHeight="true" outlineLevel="0" collapsed="false">
      <c r="B7" s="14" t="s">
        <v>132</v>
      </c>
      <c r="C7" s="14" t="s">
        <v>105</v>
      </c>
      <c r="D7" s="43" t="s">
        <v>243</v>
      </c>
      <c r="E7" s="14" t="n">
        <v>100</v>
      </c>
      <c r="F7" s="14" t="n">
        <v>54</v>
      </c>
      <c r="G7" s="15" t="n">
        <v>5400</v>
      </c>
      <c r="H7" s="38" t="s">
        <v>250</v>
      </c>
    </row>
    <row r="8" customFormat="false" ht="21.75" hidden="false" customHeight="true" outlineLevel="0" collapsed="false">
      <c r="B8" s="16" t="s">
        <v>132</v>
      </c>
      <c r="C8" s="16" t="s">
        <v>78</v>
      </c>
      <c r="D8" s="45" t="s">
        <v>245</v>
      </c>
      <c r="E8" s="16" t="n">
        <v>1</v>
      </c>
      <c r="F8" s="16" t="n">
        <v>7400</v>
      </c>
      <c r="G8" s="17" t="n">
        <v>7400</v>
      </c>
      <c r="H8" s="40" t="s">
        <v>251</v>
      </c>
    </row>
    <row r="9" customFormat="false" ht="21.75" hidden="false" customHeight="true" outlineLevel="0" collapsed="false">
      <c r="B9" s="14" t="s">
        <v>135</v>
      </c>
      <c r="C9" s="14" t="s">
        <v>111</v>
      </c>
      <c r="D9" s="43" t="s">
        <v>243</v>
      </c>
      <c r="E9" s="14" t="n">
        <v>5</v>
      </c>
      <c r="F9" s="14" t="n">
        <v>1480</v>
      </c>
      <c r="G9" s="15" t="n">
        <v>7400</v>
      </c>
      <c r="H9" s="38" t="s">
        <v>252</v>
      </c>
    </row>
    <row r="10" customFormat="false" ht="21.75" hidden="false" customHeight="true" outlineLevel="0" collapsed="false">
      <c r="B10" s="16" t="s">
        <v>135</v>
      </c>
      <c r="C10" s="16" t="s">
        <v>83</v>
      </c>
      <c r="D10" s="45" t="s">
        <v>245</v>
      </c>
      <c r="E10" s="16" t="n">
        <v>4</v>
      </c>
      <c r="F10" s="16" t="n">
        <v>1680</v>
      </c>
      <c r="G10" s="17" t="n">
        <v>6720</v>
      </c>
      <c r="H10" s="40" t="s">
        <v>253</v>
      </c>
    </row>
    <row r="11" customFormat="false" ht="21.75" hidden="false" customHeight="true" outlineLevel="0" collapsed="false">
      <c r="B11" s="14" t="s">
        <v>138</v>
      </c>
      <c r="C11" s="14" t="s">
        <v>108</v>
      </c>
      <c r="D11" s="46" t="s">
        <v>247</v>
      </c>
      <c r="E11" s="14" t="n">
        <v>5</v>
      </c>
      <c r="F11" s="14" t="n">
        <v>920</v>
      </c>
      <c r="G11" s="15" t="n">
        <v>4600</v>
      </c>
      <c r="H11" s="38" t="s">
        <v>254</v>
      </c>
    </row>
    <row r="12" customFormat="false" ht="21.75" hidden="false" customHeight="true" outlineLevel="0" collapsed="false">
      <c r="B12" s="16" t="s">
        <v>138</v>
      </c>
      <c r="C12" s="16" t="s">
        <v>102</v>
      </c>
      <c r="D12" s="47" t="s">
        <v>247</v>
      </c>
      <c r="E12" s="16" t="n">
        <v>1</v>
      </c>
      <c r="F12" s="16" t="n">
        <v>9200</v>
      </c>
      <c r="G12" s="17" t="n">
        <v>9200</v>
      </c>
      <c r="H12" s="40" t="s">
        <v>255</v>
      </c>
    </row>
    <row r="13" customFormat="false" ht="21.75" hidden="false" customHeight="true" outlineLevel="0" collapsed="false">
      <c r="B13" s="14" t="s">
        <v>142</v>
      </c>
      <c r="C13" s="14" t="s">
        <v>93</v>
      </c>
      <c r="D13" s="43" t="s">
        <v>243</v>
      </c>
      <c r="E13" s="14" t="n">
        <v>2</v>
      </c>
      <c r="F13" s="14" t="n">
        <v>5400</v>
      </c>
      <c r="G13" s="15" t="n">
        <v>10800</v>
      </c>
      <c r="H13" s="38" t="s">
        <v>256</v>
      </c>
    </row>
    <row r="14" customFormat="false" ht="21.75" hidden="false" customHeight="true" outlineLevel="0" collapsed="false">
      <c r="B14" s="16" t="s">
        <v>144</v>
      </c>
      <c r="C14" s="16" t="s">
        <v>95</v>
      </c>
      <c r="D14" s="45" t="s">
        <v>245</v>
      </c>
      <c r="E14" s="16" t="n">
        <v>2</v>
      </c>
      <c r="F14" s="16" t="n">
        <v>2950</v>
      </c>
      <c r="G14" s="17" t="n">
        <v>5900</v>
      </c>
      <c r="H14" s="40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3"/>
  </cols>
  <sheetData>
    <row r="1" customFormat="false" ht="27.75" hidden="false" customHeight="true" outlineLevel="0" collapsed="false">
      <c r="A1" s="1"/>
      <c r="B1" s="18" t="s">
        <v>258</v>
      </c>
      <c r="C1" s="1"/>
      <c r="D1" s="1"/>
      <c r="E1" s="1"/>
      <c r="F1" s="1"/>
    </row>
    <row r="2" customFormat="false" ht="19.5" hidden="false" customHeight="true" outlineLevel="0" collapsed="false">
      <c r="B2" s="42" t="s">
        <v>64</v>
      </c>
      <c r="C2" s="42" t="s">
        <v>259</v>
      </c>
      <c r="D2" s="42" t="s">
        <v>260</v>
      </c>
      <c r="E2" s="42" t="s">
        <v>261</v>
      </c>
    </row>
    <row r="3" customFormat="false" ht="54.75" hidden="false" customHeight="true" outlineLevel="0" collapsed="false">
      <c r="B3" s="48" t="s">
        <v>75</v>
      </c>
      <c r="C3" s="49" t="s">
        <v>262</v>
      </c>
      <c r="D3" s="49" t="s">
        <v>263</v>
      </c>
      <c r="E3" s="50" t="s">
        <v>264</v>
      </c>
    </row>
    <row r="4" customFormat="false" ht="54.75" hidden="false" customHeight="true" outlineLevel="0" collapsed="false">
      <c r="B4" s="51" t="s">
        <v>80</v>
      </c>
      <c r="C4" s="52" t="s">
        <v>265</v>
      </c>
      <c r="D4" s="52" t="s">
        <v>266</v>
      </c>
      <c r="E4" s="53" t="s">
        <v>267</v>
      </c>
    </row>
    <row r="5" customFormat="false" ht="54.75" hidden="false" customHeight="true" outlineLevel="0" collapsed="false">
      <c r="B5" s="48" t="s">
        <v>90</v>
      </c>
      <c r="C5" s="49" t="s">
        <v>268</v>
      </c>
      <c r="D5" s="49" t="s">
        <v>269</v>
      </c>
      <c r="E5" s="50" t="s">
        <v>270</v>
      </c>
    </row>
    <row r="6" customFormat="false" ht="54.75" hidden="false" customHeight="true" outlineLevel="0" collapsed="false">
      <c r="B6" s="51" t="s">
        <v>95</v>
      </c>
      <c r="C6" s="52" t="s">
        <v>271</v>
      </c>
      <c r="D6" s="52" t="s">
        <v>272</v>
      </c>
      <c r="E6" s="53" t="s">
        <v>273</v>
      </c>
    </row>
    <row r="7" customFormat="false" ht="54.75" hidden="false" customHeight="true" outlineLevel="0" collapsed="false">
      <c r="B7" s="48" t="s">
        <v>105</v>
      </c>
      <c r="C7" s="49" t="s">
        <v>274</v>
      </c>
      <c r="D7" s="49" t="s">
        <v>275</v>
      </c>
      <c r="E7" s="50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4" min="3" style="0" width="30"/>
    <col collapsed="false" customWidth="true" hidden="false" outlineLevel="0" max="5" min="5" style="0" width="3"/>
  </cols>
  <sheetData>
    <row r="1" customFormat="false" ht="27.75" hidden="false" customHeight="true" outlineLevel="0" collapsed="false">
      <c r="A1" s="1"/>
      <c r="B1" s="18" t="s">
        <v>277</v>
      </c>
      <c r="C1" s="1"/>
      <c r="D1" s="1"/>
      <c r="E1" s="1"/>
    </row>
    <row r="2" customFormat="false" ht="18" hidden="false" customHeight="true" outlineLevel="0" collapsed="false">
      <c r="A2" s="4"/>
      <c r="B2" s="54" t="s">
        <v>278</v>
      </c>
      <c r="C2" s="55" t="s">
        <v>279</v>
      </c>
      <c r="D2" s="54" t="s">
        <v>280</v>
      </c>
      <c r="E2" s="4"/>
    </row>
    <row r="3" customFormat="false" ht="9.75" hidden="false" customHeight="true" outlineLevel="0" collapsed="false"/>
    <row r="4" customFormat="false" ht="19.5" hidden="false" customHeight="true" outlineLevel="0" collapsed="false">
      <c r="A4" s="4"/>
      <c r="B4" s="56" t="s">
        <v>281</v>
      </c>
      <c r="C4" s="4"/>
      <c r="D4" s="4"/>
      <c r="E4" s="4"/>
    </row>
    <row r="5" customFormat="false" ht="21.75" hidden="false" customHeight="true" outlineLevel="0" collapsed="false">
      <c r="B5" s="57" t="s">
        <v>282</v>
      </c>
      <c r="C5" s="58" t="s">
        <v>283</v>
      </c>
      <c r="D5" s="59" t="s">
        <v>284</v>
      </c>
    </row>
    <row r="6" customFormat="false" ht="21.75" hidden="false" customHeight="true" outlineLevel="0" collapsed="false">
      <c r="B6" s="57" t="s">
        <v>285</v>
      </c>
      <c r="C6" s="58" t="s">
        <v>286</v>
      </c>
      <c r="D6" s="59" t="s">
        <v>284</v>
      </c>
    </row>
    <row r="7" customFormat="false" ht="21.75" hidden="false" customHeight="true" outlineLevel="0" collapsed="false">
      <c r="B7" s="57" t="s">
        <v>287</v>
      </c>
      <c r="C7" s="58" t="s">
        <v>288</v>
      </c>
      <c r="D7" s="59" t="s">
        <v>284</v>
      </c>
    </row>
    <row r="8" customFormat="false" ht="21.75" hidden="false" customHeight="true" outlineLevel="0" collapsed="false">
      <c r="B8" s="57" t="s">
        <v>289</v>
      </c>
      <c r="C8" s="58" t="s">
        <v>290</v>
      </c>
      <c r="D8" s="59" t="s">
        <v>284</v>
      </c>
    </row>
    <row r="9" customFormat="false" ht="9.75" hidden="false" customHeight="true" outlineLevel="0" collapsed="false"/>
    <row r="10" customFormat="false" ht="19.5" hidden="false" customHeight="true" outlineLevel="0" collapsed="false">
      <c r="A10" s="4"/>
      <c r="B10" s="56" t="s">
        <v>291</v>
      </c>
      <c r="C10" s="4"/>
      <c r="D10" s="4"/>
      <c r="E10" s="4"/>
    </row>
    <row r="11" customFormat="false" ht="21.75" hidden="false" customHeight="true" outlineLevel="0" collapsed="false">
      <c r="B11" s="57" t="s">
        <v>292</v>
      </c>
      <c r="C11" s="58" t="s">
        <v>293</v>
      </c>
      <c r="D11" s="59" t="s">
        <v>284</v>
      </c>
    </row>
    <row r="12" customFormat="false" ht="21.75" hidden="false" customHeight="true" outlineLevel="0" collapsed="false">
      <c r="B12" s="57" t="s">
        <v>294</v>
      </c>
      <c r="C12" s="58" t="s">
        <v>295</v>
      </c>
      <c r="D12" s="59" t="s">
        <v>284</v>
      </c>
    </row>
    <row r="13" customFormat="false" ht="21.75" hidden="false" customHeight="true" outlineLevel="0" collapsed="false">
      <c r="B13" s="57" t="s">
        <v>296</v>
      </c>
      <c r="C13" s="58" t="s">
        <v>297</v>
      </c>
      <c r="D13" s="59" t="s">
        <v>284</v>
      </c>
    </row>
    <row r="14" customFormat="false" ht="21.75" hidden="false" customHeight="true" outlineLevel="0" collapsed="false">
      <c r="B14" s="57" t="s">
        <v>298</v>
      </c>
      <c r="C14" s="58" t="s">
        <v>299</v>
      </c>
      <c r="D14" s="59" t="s">
        <v>284</v>
      </c>
    </row>
    <row r="15" customFormat="false" ht="21.75" hidden="false" customHeight="true" outlineLevel="0" collapsed="false">
      <c r="B15" s="57" t="s">
        <v>300</v>
      </c>
      <c r="C15" s="58" t="s">
        <v>301</v>
      </c>
      <c r="D15" s="59" t="s">
        <v>284</v>
      </c>
    </row>
    <row r="16" customFormat="false" ht="9.75" hidden="false" customHeight="true" outlineLevel="0" collapsed="false"/>
    <row r="17" customFormat="false" ht="19.5" hidden="false" customHeight="true" outlineLevel="0" collapsed="false">
      <c r="A17" s="4"/>
      <c r="B17" s="56" t="s">
        <v>302</v>
      </c>
      <c r="C17" s="4"/>
      <c r="D17" s="4"/>
      <c r="E17" s="4"/>
    </row>
    <row r="18" customFormat="false" ht="21.75" hidden="false" customHeight="true" outlineLevel="0" collapsed="false">
      <c r="B18" s="57" t="s">
        <v>303</v>
      </c>
      <c r="C18" s="58" t="s">
        <v>304</v>
      </c>
      <c r="D18" s="59" t="s">
        <v>284</v>
      </c>
    </row>
    <row r="19" customFormat="false" ht="21.75" hidden="false" customHeight="true" outlineLevel="0" collapsed="false">
      <c r="B19" s="57" t="s">
        <v>305</v>
      </c>
      <c r="C19" s="58" t="s">
        <v>304</v>
      </c>
      <c r="D19" s="59" t="s">
        <v>284</v>
      </c>
    </row>
    <row r="20" customFormat="false" ht="21.75" hidden="false" customHeight="true" outlineLevel="0" collapsed="false">
      <c r="B20" s="57" t="s">
        <v>306</v>
      </c>
      <c r="C20" s="58" t="s">
        <v>307</v>
      </c>
      <c r="D20" s="59" t="s">
        <v>284</v>
      </c>
    </row>
    <row r="21" customFormat="false" ht="9.75" hidden="false" customHeight="true" outlineLevel="0" collapsed="false"/>
    <row r="22" customFormat="false" ht="19.5" hidden="false" customHeight="true" outlineLevel="0" collapsed="false">
      <c r="A22" s="4"/>
      <c r="B22" s="56" t="s">
        <v>308</v>
      </c>
      <c r="C22" s="4"/>
      <c r="D22" s="4"/>
      <c r="E22" s="4"/>
    </row>
    <row r="23" customFormat="false" ht="21.75" hidden="false" customHeight="true" outlineLevel="0" collapsed="false">
      <c r="B23" s="57" t="s">
        <v>309</v>
      </c>
      <c r="C23" s="58" t="s">
        <v>310</v>
      </c>
      <c r="D23" s="59" t="s">
        <v>284</v>
      </c>
    </row>
    <row r="24" customFormat="false" ht="21.75" hidden="false" customHeight="true" outlineLevel="0" collapsed="false">
      <c r="B24" s="57" t="s">
        <v>311</v>
      </c>
      <c r="C24" s="58" t="s">
        <v>310</v>
      </c>
      <c r="D24" s="59" t="s">
        <v>284</v>
      </c>
    </row>
    <row r="25" customFormat="false" ht="21.75" hidden="false" customHeight="true" outlineLevel="0" collapsed="false">
      <c r="B25" s="57" t="s">
        <v>312</v>
      </c>
      <c r="C25" s="58" t="s">
        <v>313</v>
      </c>
      <c r="D25" s="59" t="s">
        <v>284</v>
      </c>
    </row>
    <row r="26" customFormat="false" ht="9.75" hidden="false" customHeight="true" outlineLevel="0" collapsed="false"/>
    <row r="27" customFormat="false" ht="19.5" hidden="false" customHeight="true" outlineLevel="0" collapsed="false">
      <c r="A27" s="4"/>
      <c r="B27" s="56" t="s">
        <v>314</v>
      </c>
      <c r="C27" s="4"/>
      <c r="D27" s="4"/>
      <c r="E27" s="4"/>
    </row>
    <row r="28" customFormat="false" ht="21.75" hidden="false" customHeight="true" outlineLevel="0" collapsed="false">
      <c r="B28" s="57" t="s">
        <v>315</v>
      </c>
      <c r="C28" s="58" t="s">
        <v>316</v>
      </c>
      <c r="D28" s="59" t="s">
        <v>284</v>
      </c>
    </row>
    <row r="29" customFormat="false" ht="21.75" hidden="false" customHeight="true" outlineLevel="0" collapsed="false">
      <c r="B29" s="57" t="s">
        <v>317</v>
      </c>
      <c r="C29" s="58" t="s">
        <v>318</v>
      </c>
      <c r="D29" s="59" t="s">
        <v>284</v>
      </c>
    </row>
    <row r="30" customFormat="false" ht="21.75" hidden="false" customHeight="true" outlineLevel="0" collapsed="false">
      <c r="B30" s="57" t="s">
        <v>319</v>
      </c>
      <c r="C30" s="58" t="s">
        <v>320</v>
      </c>
      <c r="D30" s="59" t="s">
        <v>284</v>
      </c>
    </row>
    <row r="31" customFormat="false" ht="9.75" hidden="false" customHeight="true" outlineLevel="0" collapsed="false"/>
    <row r="32" customFormat="false" ht="19.5" hidden="false" customHeight="true" outlineLevel="0" collapsed="false">
      <c r="A32" s="4"/>
      <c r="B32" s="56" t="s">
        <v>321</v>
      </c>
      <c r="C32" s="4"/>
      <c r="D32" s="4"/>
      <c r="E32" s="4"/>
    </row>
    <row r="33" customFormat="false" ht="21.75" hidden="false" customHeight="true" outlineLevel="0" collapsed="false">
      <c r="B33" s="57" t="s">
        <v>322</v>
      </c>
      <c r="C33" s="58" t="s">
        <v>323</v>
      </c>
      <c r="D33" s="59" t="s">
        <v>284</v>
      </c>
    </row>
    <row r="34" customFormat="false" ht="21.75" hidden="false" customHeight="true" outlineLevel="0" collapsed="false">
      <c r="B34" s="57" t="s">
        <v>324</v>
      </c>
      <c r="C34" s="58" t="s">
        <v>325</v>
      </c>
      <c r="D34" s="59" t="s">
        <v>284</v>
      </c>
    </row>
    <row r="35" customFormat="false" ht="21.75" hidden="false" customHeight="true" outlineLevel="0" collapsed="false">
      <c r="B35" s="57" t="s">
        <v>326</v>
      </c>
      <c r="C35" s="58" t="s">
        <v>327</v>
      </c>
      <c r="D35" s="59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2026-05-20T11:34:06Z</dcterms:created>
  <dc:creator>openpyxl</dc:creator>
  <dc:description/>
  <dc:language>en-US</dc:language>
  <cp:lastModifiedBy/>
  <dcterms:modified xsi:type="dcterms:W3CDTF">2026-05-20T11:34:06Z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